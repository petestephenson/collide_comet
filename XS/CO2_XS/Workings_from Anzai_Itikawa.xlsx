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26"/>
  <workbookPr defaultThemeVersion="166925"/>
  <mc:AlternateContent xmlns:mc="http://schemas.openxmlformats.org/markup-compatibility/2006">
    <mc:Choice Requires="x15">
      <x15ac:absPath xmlns:x15ac="http://schemas.microsoft.com/office/spreadsheetml/2010/11/ac" url="https://imperiallondon-my.sharepoint.com/personal/pps18_ic_ac_uk/Documents/Energy_Degradation/XS/CO2_XS/"/>
    </mc:Choice>
  </mc:AlternateContent>
  <xr:revisionPtr revIDLastSave="0" documentId="8_{7BF29CC7-D632-4D23-8B51-A5E8A860C5FC}" xr6:coauthVersionLast="47" xr6:coauthVersionMax="47" xr10:uidLastSave="{00000000-0000-0000-0000-000000000000}"/>
  <bookViews>
    <workbookView xWindow="-110" yWindow="-110" windowWidth="19420" windowHeight="10420" firstSheet="1" activeTab="9" xr2:uid="{D81BBC03-24C1-47A5-9694-94C3352BBD13}"/>
  </bookViews>
  <sheets>
    <sheet name="Sheet1" sheetId="1" r:id="rId1"/>
    <sheet name="Sheet2" sheetId="3" r:id="rId2"/>
    <sheet name="Sheet3" sheetId="4" r:id="rId3"/>
    <sheet name="Sheet4" sheetId="5" r:id="rId4"/>
    <sheet name="Sheet5" sheetId="6" r:id="rId5"/>
    <sheet name="TotScattering" sheetId="2" r:id="rId6"/>
    <sheet name="Sheet6" sheetId="7" r:id="rId7"/>
    <sheet name="DissIoni" sheetId="8" r:id="rId8"/>
    <sheet name="Sheet8" sheetId="9" r:id="rId9"/>
    <sheet name="Sheet9" sheetId="10" r:id="rId10"/>
  </sheets>
  <calcPr calcId="191029"/>
  <fileRecoveryPr repairLoad="1"/>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Q4" i="10" l="1"/>
  <c r="Q5" i="10"/>
  <c r="Q6" i="10"/>
  <c r="Q7" i="10"/>
  <c r="Q8" i="10"/>
  <c r="Q9" i="10"/>
  <c r="Q10" i="10"/>
  <c r="Q11" i="10"/>
  <c r="Q12" i="10"/>
  <c r="Q13" i="10"/>
  <c r="Q14" i="10"/>
  <c r="Q15" i="10"/>
  <c r="Q16" i="10"/>
  <c r="Q17" i="10"/>
  <c r="Q18" i="10"/>
  <c r="Q19" i="10"/>
  <c r="Q20" i="10"/>
  <c r="Q21" i="10"/>
  <c r="Q22" i="10"/>
  <c r="Q23" i="10"/>
  <c r="Q24" i="10"/>
  <c r="Q25" i="10"/>
  <c r="Q3" i="10"/>
  <c r="J4" i="10"/>
  <c r="K4" i="10"/>
  <c r="L4" i="10"/>
  <c r="M4" i="10"/>
  <c r="N4" i="10"/>
  <c r="J5" i="10"/>
  <c r="K5" i="10"/>
  <c r="L5" i="10"/>
  <c r="M5" i="10"/>
  <c r="N5" i="10"/>
  <c r="J6" i="10"/>
  <c r="K6" i="10"/>
  <c r="L6" i="10"/>
  <c r="M6" i="10"/>
  <c r="N6" i="10"/>
  <c r="J7" i="10"/>
  <c r="K7" i="10"/>
  <c r="L7" i="10"/>
  <c r="M7" i="10"/>
  <c r="N7" i="10"/>
  <c r="J8" i="10"/>
  <c r="K8" i="10"/>
  <c r="L8" i="10"/>
  <c r="M8" i="10"/>
  <c r="N8" i="10"/>
  <c r="J9" i="10"/>
  <c r="K9" i="10"/>
  <c r="L9" i="10"/>
  <c r="M9" i="10"/>
  <c r="N9" i="10"/>
  <c r="J10" i="10"/>
  <c r="K10" i="10"/>
  <c r="L10" i="10"/>
  <c r="M10" i="10"/>
  <c r="N10" i="10"/>
  <c r="J11" i="10"/>
  <c r="K11" i="10"/>
  <c r="L11" i="10"/>
  <c r="M11" i="10"/>
  <c r="N11" i="10"/>
  <c r="J12" i="10"/>
  <c r="K12" i="10"/>
  <c r="L12" i="10"/>
  <c r="M12" i="10"/>
  <c r="N12" i="10"/>
  <c r="J13" i="10"/>
  <c r="K13" i="10"/>
  <c r="L13" i="10"/>
  <c r="M13" i="10"/>
  <c r="N13" i="10"/>
  <c r="J14" i="10"/>
  <c r="K14" i="10"/>
  <c r="L14" i="10"/>
  <c r="M14" i="10"/>
  <c r="N14" i="10"/>
  <c r="J15" i="10"/>
  <c r="K15" i="10"/>
  <c r="L15" i="10"/>
  <c r="M15" i="10"/>
  <c r="N15" i="10"/>
  <c r="J16" i="10"/>
  <c r="K16" i="10"/>
  <c r="L16" i="10"/>
  <c r="M16" i="10"/>
  <c r="N16" i="10"/>
  <c r="J17" i="10"/>
  <c r="K17" i="10"/>
  <c r="L17" i="10"/>
  <c r="M17" i="10"/>
  <c r="N17" i="10"/>
  <c r="J18" i="10"/>
  <c r="K18" i="10"/>
  <c r="L18" i="10"/>
  <c r="M18" i="10"/>
  <c r="N18" i="10"/>
  <c r="J19" i="10"/>
  <c r="K19" i="10"/>
  <c r="L19" i="10"/>
  <c r="M19" i="10"/>
  <c r="N19" i="10"/>
  <c r="J20" i="10"/>
  <c r="K20" i="10"/>
  <c r="L20" i="10"/>
  <c r="M20" i="10"/>
  <c r="N20" i="10"/>
  <c r="J21" i="10"/>
  <c r="K21" i="10"/>
  <c r="L21" i="10"/>
  <c r="M21" i="10"/>
  <c r="N21" i="10"/>
  <c r="J22" i="10"/>
  <c r="K22" i="10"/>
  <c r="L22" i="10"/>
  <c r="M22" i="10"/>
  <c r="N22" i="10"/>
  <c r="J23" i="10"/>
  <c r="K23" i="10"/>
  <c r="L23" i="10"/>
  <c r="M23" i="10"/>
  <c r="N23" i="10"/>
  <c r="J24" i="10"/>
  <c r="K24" i="10"/>
  <c r="L24" i="10"/>
  <c r="M24" i="10"/>
  <c r="N24" i="10"/>
  <c r="J25" i="10"/>
  <c r="K25" i="10"/>
  <c r="L25" i="10"/>
  <c r="M25" i="10"/>
  <c r="N25" i="10"/>
  <c r="O3" i="10"/>
  <c r="N3" i="10"/>
  <c r="M3" i="10"/>
  <c r="L3" i="10"/>
  <c r="K3" i="10"/>
  <c r="J3" i="10"/>
  <c r="B25" i="10"/>
  <c r="B24" i="10"/>
  <c r="C24" i="10" s="1"/>
  <c r="B23" i="10"/>
  <c r="C23" i="10" s="1"/>
  <c r="B22" i="10"/>
  <c r="C22" i="10" s="1"/>
  <c r="B21" i="10"/>
  <c r="C21" i="10" s="1"/>
  <c r="C20" i="10"/>
  <c r="B20" i="10"/>
  <c r="B19" i="10"/>
  <c r="C19" i="10" s="1"/>
  <c r="D19" i="10" s="1"/>
  <c r="E19" i="10" s="1"/>
  <c r="F19" i="10" s="1"/>
  <c r="B18" i="10"/>
  <c r="B17" i="10"/>
  <c r="C16" i="10"/>
  <c r="D16" i="10" s="1"/>
  <c r="B16" i="10"/>
  <c r="B15" i="10"/>
  <c r="C15" i="10" s="1"/>
  <c r="B14" i="10"/>
  <c r="C14" i="10" s="1"/>
  <c r="B13" i="10"/>
  <c r="C13" i="10" s="1"/>
  <c r="C12" i="10"/>
  <c r="B12" i="10"/>
  <c r="B11" i="10"/>
  <c r="B10" i="10"/>
  <c r="B9" i="10"/>
  <c r="C8" i="10"/>
  <c r="D8" i="10" s="1"/>
  <c r="B8" i="10"/>
  <c r="B7" i="10"/>
  <c r="C7" i="10" s="1"/>
  <c r="B6" i="10"/>
  <c r="C6" i="10" s="1"/>
  <c r="B5" i="10"/>
  <c r="C5" i="10" s="1"/>
  <c r="C4" i="10"/>
  <c r="B4" i="10"/>
  <c r="B3" i="10"/>
  <c r="B38" i="9"/>
  <c r="D38" i="9" s="1"/>
  <c r="D37" i="9"/>
  <c r="B37" i="9"/>
  <c r="C37" i="9" s="1"/>
  <c r="C36" i="9"/>
  <c r="B36" i="9"/>
  <c r="D36" i="9" s="1"/>
  <c r="B35" i="9"/>
  <c r="C35" i="9" s="1"/>
  <c r="C34" i="9"/>
  <c r="B34" i="9"/>
  <c r="D34" i="9" s="1"/>
  <c r="D33" i="9"/>
  <c r="C33" i="9"/>
  <c r="B33" i="9"/>
  <c r="D32" i="9"/>
  <c r="C32" i="9"/>
  <c r="B32" i="9"/>
  <c r="B31" i="9"/>
  <c r="D31" i="9" s="1"/>
  <c r="B30" i="9"/>
  <c r="D30" i="9" s="1"/>
  <c r="D29" i="9"/>
  <c r="B29" i="9"/>
  <c r="C29" i="9" s="1"/>
  <c r="C28" i="9"/>
  <c r="B28" i="9"/>
  <c r="D28" i="9" s="1"/>
  <c r="B27" i="9"/>
  <c r="C27" i="9" s="1"/>
  <c r="C26" i="9"/>
  <c r="B26" i="9"/>
  <c r="D26" i="9" s="1"/>
  <c r="D25" i="9"/>
  <c r="C25" i="9"/>
  <c r="B25" i="9"/>
  <c r="D24" i="9"/>
  <c r="C24" i="9"/>
  <c r="B24" i="9"/>
  <c r="B23" i="9"/>
  <c r="D23" i="9" s="1"/>
  <c r="B22" i="9"/>
  <c r="D22" i="9" s="1"/>
  <c r="D21" i="9"/>
  <c r="B21" i="9"/>
  <c r="C21" i="9" s="1"/>
  <c r="C20" i="9"/>
  <c r="B20" i="9"/>
  <c r="D20" i="9" s="1"/>
  <c r="B19" i="9"/>
  <c r="D19" i="9" s="1"/>
  <c r="C18" i="9"/>
  <c r="B18" i="9"/>
  <c r="D18" i="9" s="1"/>
  <c r="D17" i="9"/>
  <c r="C17" i="9"/>
  <c r="B17" i="9"/>
  <c r="D16" i="9"/>
  <c r="C16" i="9"/>
  <c r="B16" i="9"/>
  <c r="B15" i="9"/>
  <c r="D15" i="9" s="1"/>
  <c r="B14" i="9"/>
  <c r="D14" i="9" s="1"/>
  <c r="D13" i="9"/>
  <c r="B13" i="9"/>
  <c r="C13" i="9" s="1"/>
  <c r="C12" i="9"/>
  <c r="B12" i="9"/>
  <c r="D12" i="9" s="1"/>
  <c r="B11" i="9"/>
  <c r="D11" i="9" s="1"/>
  <c r="C10" i="9"/>
  <c r="B10" i="9"/>
  <c r="D10" i="9" s="1"/>
  <c r="D9" i="9"/>
  <c r="C9" i="9"/>
  <c r="B9" i="9"/>
  <c r="D8" i="9"/>
  <c r="C8" i="9"/>
  <c r="B8" i="9"/>
  <c r="B7" i="9"/>
  <c r="D7" i="9" s="1"/>
  <c r="B6" i="9"/>
  <c r="D6" i="9" s="1"/>
  <c r="D5" i="9"/>
  <c r="B5" i="9"/>
  <c r="C5" i="9" s="1"/>
  <c r="C4" i="9"/>
  <c r="B4" i="9"/>
  <c r="D4" i="9" s="1"/>
  <c r="B3" i="9"/>
  <c r="C3" i="9" s="1"/>
  <c r="O12" i="8"/>
  <c r="B13" i="8"/>
  <c r="J13" i="8" s="1"/>
  <c r="B14" i="8"/>
  <c r="B15" i="8"/>
  <c r="J15" i="8" s="1"/>
  <c r="B16" i="8"/>
  <c r="J16" i="8" s="1"/>
  <c r="B17" i="8"/>
  <c r="B18" i="8"/>
  <c r="B19" i="8"/>
  <c r="B20" i="8"/>
  <c r="B21" i="8"/>
  <c r="J21" i="8" s="1"/>
  <c r="B22" i="8"/>
  <c r="B23" i="8"/>
  <c r="B24" i="8"/>
  <c r="B25" i="8"/>
  <c r="C25" i="8" s="1"/>
  <c r="B26" i="8"/>
  <c r="B27" i="8"/>
  <c r="B28" i="8"/>
  <c r="B29" i="8"/>
  <c r="B30" i="8"/>
  <c r="B31" i="8"/>
  <c r="B32" i="8"/>
  <c r="B33" i="8"/>
  <c r="J33" i="8" s="1"/>
  <c r="B34" i="8"/>
  <c r="J34" i="8" s="1"/>
  <c r="B35" i="8"/>
  <c r="B36" i="8"/>
  <c r="B37" i="8"/>
  <c r="J37" i="8" s="1"/>
  <c r="B38" i="8"/>
  <c r="J38" i="8" s="1"/>
  <c r="B39" i="8"/>
  <c r="B40" i="8"/>
  <c r="B41" i="8"/>
  <c r="J41" i="8" s="1"/>
  <c r="B12" i="8"/>
  <c r="C12" i="8" s="1"/>
  <c r="D12" i="8" s="1"/>
  <c r="E12" i="8" s="1"/>
  <c r="F12" i="8" s="1"/>
  <c r="N12" i="8" s="1"/>
  <c r="B11" i="8"/>
  <c r="J11" i="8" s="1"/>
  <c r="B10" i="8"/>
  <c r="J10" i="8" s="1"/>
  <c r="B9" i="8"/>
  <c r="J9" i="8" s="1"/>
  <c r="B8" i="8"/>
  <c r="C8" i="8" s="1"/>
  <c r="B7" i="8"/>
  <c r="C7" i="8" s="1"/>
  <c r="B6" i="8"/>
  <c r="J6" i="8" s="1"/>
  <c r="B5" i="8"/>
  <c r="J5" i="8" s="1"/>
  <c r="B4" i="8"/>
  <c r="B3" i="8"/>
  <c r="J3" i="8" s="1"/>
  <c r="B2" i="8"/>
  <c r="J2" i="8" s="1"/>
  <c r="L3" i="7"/>
  <c r="L4" i="7"/>
  <c r="L5" i="7"/>
  <c r="L6" i="7"/>
  <c r="L7" i="7"/>
  <c r="L8" i="7"/>
  <c r="L9" i="7"/>
  <c r="L10" i="7"/>
  <c r="L11" i="7"/>
  <c r="L12" i="7"/>
  <c r="L13" i="7"/>
  <c r="L14" i="7"/>
  <c r="L15" i="7"/>
  <c r="L16" i="7"/>
  <c r="L17" i="7"/>
  <c r="L18" i="7"/>
  <c r="L19" i="7"/>
  <c r="L20" i="7"/>
  <c r="L21" i="7"/>
  <c r="L22" i="7"/>
  <c r="L23" i="7"/>
  <c r="L24" i="7"/>
  <c r="L25" i="7"/>
  <c r="L26" i="7"/>
  <c r="L27" i="7"/>
  <c r="L28" i="7"/>
  <c r="L29" i="7"/>
  <c r="L30" i="7"/>
  <c r="L31" i="7"/>
  <c r="L32" i="7"/>
  <c r="L2" i="7"/>
  <c r="B65" i="7"/>
  <c r="D65" i="7" s="1"/>
  <c r="B64" i="7"/>
  <c r="D64" i="7" s="1"/>
  <c r="B63" i="7"/>
  <c r="D63" i="7" s="1"/>
  <c r="B62" i="7"/>
  <c r="D62" i="7" s="1"/>
  <c r="B61" i="7"/>
  <c r="D61" i="7" s="1"/>
  <c r="B60" i="7"/>
  <c r="D60" i="7" s="1"/>
  <c r="B59" i="7"/>
  <c r="D59" i="7" s="1"/>
  <c r="B58" i="7"/>
  <c r="D58" i="7" s="1"/>
  <c r="B57" i="7"/>
  <c r="D57" i="7" s="1"/>
  <c r="B56" i="7"/>
  <c r="D56" i="7" s="1"/>
  <c r="B55" i="7"/>
  <c r="D55" i="7" s="1"/>
  <c r="B54" i="7"/>
  <c r="D54" i="7" s="1"/>
  <c r="B53" i="7"/>
  <c r="D53" i="7" s="1"/>
  <c r="B52" i="7"/>
  <c r="D52" i="7" s="1"/>
  <c r="B51" i="7"/>
  <c r="D51" i="7" s="1"/>
  <c r="B50" i="7"/>
  <c r="D50" i="7" s="1"/>
  <c r="B49" i="7"/>
  <c r="D49" i="7" s="1"/>
  <c r="B48" i="7"/>
  <c r="D48" i="7" s="1"/>
  <c r="B47" i="7"/>
  <c r="D47" i="7" s="1"/>
  <c r="B46" i="7"/>
  <c r="D46" i="7" s="1"/>
  <c r="B45" i="7"/>
  <c r="D45" i="7" s="1"/>
  <c r="B44" i="7"/>
  <c r="D44" i="7" s="1"/>
  <c r="B43" i="7"/>
  <c r="D43" i="7" s="1"/>
  <c r="B42" i="7"/>
  <c r="D42" i="7" s="1"/>
  <c r="B41" i="7"/>
  <c r="D41" i="7" s="1"/>
  <c r="B40" i="7"/>
  <c r="D40" i="7" s="1"/>
  <c r="B39" i="7"/>
  <c r="D39" i="7" s="1"/>
  <c r="B38" i="7"/>
  <c r="D38" i="7" s="1"/>
  <c r="B37" i="7"/>
  <c r="D37" i="7" s="1"/>
  <c r="B36" i="7"/>
  <c r="D36" i="7" s="1"/>
  <c r="B35" i="7"/>
  <c r="D35" i="7" s="1"/>
  <c r="B24" i="7"/>
  <c r="C24" i="7" s="1"/>
  <c r="E24" i="7" s="1"/>
  <c r="B25" i="7"/>
  <c r="C25" i="7"/>
  <c r="D25" i="7"/>
  <c r="E25" i="7"/>
  <c r="B26" i="7"/>
  <c r="C26" i="7" s="1"/>
  <c r="E26" i="7" s="1"/>
  <c r="B27" i="7"/>
  <c r="C27" i="7"/>
  <c r="D27" i="7"/>
  <c r="E27" i="7"/>
  <c r="B28" i="7"/>
  <c r="C28" i="7" s="1"/>
  <c r="E28" i="7" s="1"/>
  <c r="B29" i="7"/>
  <c r="C29" i="7"/>
  <c r="D29" i="7"/>
  <c r="E29" i="7"/>
  <c r="B30" i="7"/>
  <c r="C30" i="7" s="1"/>
  <c r="E30" i="7" s="1"/>
  <c r="B31" i="7"/>
  <c r="C31" i="7"/>
  <c r="D31" i="7"/>
  <c r="E31" i="7"/>
  <c r="B32" i="7"/>
  <c r="C32" i="7" s="1"/>
  <c r="E32" i="7" s="1"/>
  <c r="B23" i="7"/>
  <c r="D23" i="7" s="1"/>
  <c r="B22" i="7"/>
  <c r="D22" i="7" s="1"/>
  <c r="B21" i="7"/>
  <c r="D21" i="7" s="1"/>
  <c r="B20" i="7"/>
  <c r="D20" i="7" s="1"/>
  <c r="B19" i="7"/>
  <c r="D19" i="7" s="1"/>
  <c r="B18" i="7"/>
  <c r="D18" i="7" s="1"/>
  <c r="B17" i="7"/>
  <c r="D17" i="7" s="1"/>
  <c r="B16" i="7"/>
  <c r="D16" i="7" s="1"/>
  <c r="B15" i="7"/>
  <c r="D15" i="7" s="1"/>
  <c r="B14" i="7"/>
  <c r="D14" i="7" s="1"/>
  <c r="B13" i="7"/>
  <c r="D13" i="7" s="1"/>
  <c r="B12" i="7"/>
  <c r="D12" i="7" s="1"/>
  <c r="B11" i="7"/>
  <c r="D11" i="7" s="1"/>
  <c r="B10" i="7"/>
  <c r="D10" i="7" s="1"/>
  <c r="B9" i="7"/>
  <c r="D9" i="7" s="1"/>
  <c r="B8" i="7"/>
  <c r="D8" i="7" s="1"/>
  <c r="B7" i="7"/>
  <c r="D7" i="7" s="1"/>
  <c r="B6" i="7"/>
  <c r="D6" i="7" s="1"/>
  <c r="B5" i="7"/>
  <c r="D5" i="7" s="1"/>
  <c r="B4" i="7"/>
  <c r="D4" i="7" s="1"/>
  <c r="B3" i="7"/>
  <c r="D3" i="7" s="1"/>
  <c r="B2" i="7"/>
  <c r="D2" i="7" s="1"/>
  <c r="B12" i="6"/>
  <c r="C12" i="6" s="1"/>
  <c r="B13" i="6"/>
  <c r="C13" i="6"/>
  <c r="E13" i="6" s="1"/>
  <c r="D13" i="6"/>
  <c r="B14" i="6"/>
  <c r="C14" i="6" s="1"/>
  <c r="B15" i="6"/>
  <c r="C15" i="6" s="1"/>
  <c r="B16" i="6"/>
  <c r="C16" i="6"/>
  <c r="F16" i="6" s="1"/>
  <c r="D16" i="6"/>
  <c r="E16" i="6"/>
  <c r="B17" i="6"/>
  <c r="D17" i="6" s="1"/>
  <c r="C17" i="6"/>
  <c r="E17" i="6" s="1"/>
  <c r="F17" i="6"/>
  <c r="B18" i="6"/>
  <c r="D18" i="6" s="1"/>
  <c r="C18" i="6"/>
  <c r="E18" i="6" s="1"/>
  <c r="B19" i="6"/>
  <c r="C19" i="6"/>
  <c r="D19" i="6"/>
  <c r="E19" i="6"/>
  <c r="F19" i="6"/>
  <c r="B20" i="6"/>
  <c r="C20" i="6" s="1"/>
  <c r="D20" i="6"/>
  <c r="B21" i="6"/>
  <c r="C21" i="6"/>
  <c r="E21" i="6" s="1"/>
  <c r="D21" i="6"/>
  <c r="B22" i="6"/>
  <c r="C22" i="6" s="1"/>
  <c r="B23" i="6"/>
  <c r="C23" i="6" s="1"/>
  <c r="B24" i="6"/>
  <c r="C24" i="6"/>
  <c r="F24" i="6" s="1"/>
  <c r="D24" i="6"/>
  <c r="E24" i="6"/>
  <c r="B25" i="6"/>
  <c r="D25" i="6" s="1"/>
  <c r="C25" i="6"/>
  <c r="E25" i="6" s="1"/>
  <c r="F25" i="6"/>
  <c r="B26" i="6"/>
  <c r="D26" i="6" s="1"/>
  <c r="C26" i="6"/>
  <c r="E26" i="6" s="1"/>
  <c r="B27" i="6"/>
  <c r="C27" i="6"/>
  <c r="D27" i="6"/>
  <c r="E27" i="6"/>
  <c r="F27" i="6"/>
  <c r="B28" i="6"/>
  <c r="C28" i="6" s="1"/>
  <c r="D28" i="6"/>
  <c r="B29" i="6"/>
  <c r="C29" i="6"/>
  <c r="E29" i="6" s="1"/>
  <c r="D29" i="6"/>
  <c r="B30" i="6"/>
  <c r="C30" i="6" s="1"/>
  <c r="B31" i="6"/>
  <c r="C31" i="6" s="1"/>
  <c r="B32" i="6"/>
  <c r="C32" i="6"/>
  <c r="F32" i="6" s="1"/>
  <c r="D32" i="6"/>
  <c r="E32" i="6"/>
  <c r="B33" i="6"/>
  <c r="D33" i="6" s="1"/>
  <c r="C33" i="6"/>
  <c r="E33" i="6" s="1"/>
  <c r="F33" i="6"/>
  <c r="B34" i="6"/>
  <c r="D34" i="6" s="1"/>
  <c r="C34" i="6"/>
  <c r="E34" i="6" s="1"/>
  <c r="B35" i="6"/>
  <c r="C35" i="6"/>
  <c r="D35" i="6"/>
  <c r="E35" i="6"/>
  <c r="F35" i="6"/>
  <c r="B36" i="6"/>
  <c r="C36" i="6" s="1"/>
  <c r="D36" i="6"/>
  <c r="B37" i="6"/>
  <c r="C37" i="6"/>
  <c r="E37" i="6" s="1"/>
  <c r="D37" i="6"/>
  <c r="B38" i="6"/>
  <c r="C38" i="6" s="1"/>
  <c r="B39" i="6"/>
  <c r="C39" i="6" s="1"/>
  <c r="B40" i="6"/>
  <c r="C40" i="6"/>
  <c r="F40" i="6" s="1"/>
  <c r="D40" i="6"/>
  <c r="E40" i="6"/>
  <c r="B41" i="6"/>
  <c r="D41" i="6" s="1"/>
  <c r="C41" i="6"/>
  <c r="E41" i="6" s="1"/>
  <c r="F41" i="6"/>
  <c r="B42" i="6"/>
  <c r="D42" i="6" s="1"/>
  <c r="C42" i="6"/>
  <c r="E42" i="6" s="1"/>
  <c r="B43" i="6"/>
  <c r="C43" i="6"/>
  <c r="D43" i="6"/>
  <c r="E43" i="6"/>
  <c r="F43" i="6"/>
  <c r="B44" i="6"/>
  <c r="C44" i="6" s="1"/>
  <c r="D44" i="6"/>
  <c r="B45" i="6"/>
  <c r="C45" i="6"/>
  <c r="E45" i="6" s="1"/>
  <c r="D45" i="6"/>
  <c r="B46" i="6"/>
  <c r="C46" i="6" s="1"/>
  <c r="B47" i="6"/>
  <c r="C47" i="6" s="1"/>
  <c r="B48" i="6"/>
  <c r="C48" i="6"/>
  <c r="F48" i="6" s="1"/>
  <c r="D48" i="6"/>
  <c r="E48" i="6"/>
  <c r="B49" i="6"/>
  <c r="D49" i="6" s="1"/>
  <c r="C49" i="6"/>
  <c r="E49" i="6" s="1"/>
  <c r="F49" i="6"/>
  <c r="B50" i="6"/>
  <c r="D50" i="6" s="1"/>
  <c r="C50" i="6"/>
  <c r="E50" i="6" s="1"/>
  <c r="B51" i="6"/>
  <c r="C51" i="6"/>
  <c r="D51" i="6"/>
  <c r="E51" i="6"/>
  <c r="F51" i="6"/>
  <c r="B52" i="6"/>
  <c r="C52" i="6" s="1"/>
  <c r="D52" i="6"/>
  <c r="B53" i="6"/>
  <c r="C53" i="6"/>
  <c r="E53" i="6" s="1"/>
  <c r="D53" i="6"/>
  <c r="B54" i="6"/>
  <c r="C54" i="6" s="1"/>
  <c r="B55" i="6"/>
  <c r="C55" i="6" s="1"/>
  <c r="B56" i="6"/>
  <c r="C56" i="6"/>
  <c r="F56" i="6" s="1"/>
  <c r="D56" i="6"/>
  <c r="E56" i="6"/>
  <c r="B57" i="6"/>
  <c r="D57" i="6" s="1"/>
  <c r="C57" i="6"/>
  <c r="E57" i="6" s="1"/>
  <c r="F57" i="6"/>
  <c r="B58" i="6"/>
  <c r="D58" i="6" s="1"/>
  <c r="C58" i="6"/>
  <c r="F58" i="6" s="1"/>
  <c r="F2" i="6"/>
  <c r="F3" i="6"/>
  <c r="F4" i="6"/>
  <c r="F5" i="6"/>
  <c r="F6" i="6"/>
  <c r="F7" i="6"/>
  <c r="F8" i="6"/>
  <c r="F9" i="6"/>
  <c r="F10" i="6"/>
  <c r="F11" i="6"/>
  <c r="F1" i="6"/>
  <c r="E1" i="6"/>
  <c r="D1" i="6"/>
  <c r="B11" i="6"/>
  <c r="D11" i="6" s="1"/>
  <c r="B10" i="6"/>
  <c r="C10" i="6" s="1"/>
  <c r="C9" i="6"/>
  <c r="E9" i="6" s="1"/>
  <c r="B9" i="6"/>
  <c r="D9" i="6" s="1"/>
  <c r="B8" i="6"/>
  <c r="D8" i="6" s="1"/>
  <c r="B7" i="6"/>
  <c r="D7" i="6" s="1"/>
  <c r="D6" i="6"/>
  <c r="B6" i="6"/>
  <c r="C6" i="6" s="1"/>
  <c r="B5" i="6"/>
  <c r="D5" i="6" s="1"/>
  <c r="B4" i="6"/>
  <c r="D4" i="6" s="1"/>
  <c r="B3" i="6"/>
  <c r="D3" i="6" s="1"/>
  <c r="B2" i="6"/>
  <c r="C2" i="6" s="1"/>
  <c r="C1" i="6"/>
  <c r="B1" i="6"/>
  <c r="G5" i="5"/>
  <c r="G6" i="5"/>
  <c r="G7" i="5"/>
  <c r="G8" i="5"/>
  <c r="G9" i="5"/>
  <c r="G10" i="5"/>
  <c r="G11" i="5"/>
  <c r="G12" i="5"/>
  <c r="G13" i="5"/>
  <c r="G14" i="5"/>
  <c r="G4" i="5"/>
  <c r="H5" i="5"/>
  <c r="H6" i="5"/>
  <c r="H7" i="5"/>
  <c r="H8" i="5"/>
  <c r="H9" i="5"/>
  <c r="H10" i="5"/>
  <c r="H11" i="5"/>
  <c r="H12" i="5"/>
  <c r="H13" i="5"/>
  <c r="H14" i="5"/>
  <c r="H4" i="5"/>
  <c r="F4" i="5"/>
  <c r="F5" i="5"/>
  <c r="F6" i="5"/>
  <c r="F7" i="5"/>
  <c r="F8" i="5"/>
  <c r="F9" i="5"/>
  <c r="F10" i="5"/>
  <c r="F11" i="5"/>
  <c r="F12" i="5"/>
  <c r="F13" i="5"/>
  <c r="F14" i="5"/>
  <c r="E5" i="5"/>
  <c r="E6" i="5"/>
  <c r="E7" i="5"/>
  <c r="E8" i="5"/>
  <c r="E9" i="5"/>
  <c r="E10" i="5"/>
  <c r="E11" i="5"/>
  <c r="E12" i="5"/>
  <c r="E13" i="5"/>
  <c r="E14" i="5"/>
  <c r="E4" i="5"/>
  <c r="B4" i="5"/>
  <c r="C4" i="5" s="1"/>
  <c r="D4" i="5" s="1"/>
  <c r="B5" i="5"/>
  <c r="C5" i="5"/>
  <c r="D5" i="5"/>
  <c r="B6" i="5"/>
  <c r="C6" i="5"/>
  <c r="D6" i="5" s="1"/>
  <c r="B7" i="5"/>
  <c r="C7" i="5" s="1"/>
  <c r="D7" i="5" s="1"/>
  <c r="B8" i="5"/>
  <c r="C8" i="5"/>
  <c r="D8" i="5"/>
  <c r="B9" i="5"/>
  <c r="C9" i="5" s="1"/>
  <c r="D9" i="5" s="1"/>
  <c r="B10" i="5"/>
  <c r="C10" i="5"/>
  <c r="D10" i="5"/>
  <c r="B11" i="5"/>
  <c r="C11" i="5"/>
  <c r="D11" i="5"/>
  <c r="B12" i="5"/>
  <c r="C12" i="5" s="1"/>
  <c r="D12" i="5" s="1"/>
  <c r="B13" i="5"/>
  <c r="C13" i="5"/>
  <c r="D13" i="5"/>
  <c r="B14" i="5"/>
  <c r="C14" i="5"/>
  <c r="D14" i="5" s="1"/>
  <c r="B3" i="4"/>
  <c r="C3" i="4" s="1"/>
  <c r="B4" i="4"/>
  <c r="C4" i="4" s="1"/>
  <c r="B5" i="4"/>
  <c r="C5" i="4"/>
  <c r="D5" i="4"/>
  <c r="B6" i="4"/>
  <c r="C6" i="4" s="1"/>
  <c r="D6" i="4"/>
  <c r="B7" i="4"/>
  <c r="C7" i="4" s="1"/>
  <c r="D7" i="4"/>
  <c r="B8" i="4"/>
  <c r="C8" i="4" s="1"/>
  <c r="B9" i="4"/>
  <c r="C9" i="4"/>
  <c r="D9" i="4"/>
  <c r="B10" i="4"/>
  <c r="C10" i="4"/>
  <c r="D10" i="4"/>
  <c r="B11" i="4"/>
  <c r="C11" i="4" s="1"/>
  <c r="B12" i="4"/>
  <c r="C12" i="4" s="1"/>
  <c r="B13" i="4"/>
  <c r="C13" i="4"/>
  <c r="D13" i="4"/>
  <c r="B14" i="4"/>
  <c r="C14" i="4" s="1"/>
  <c r="D14" i="4"/>
  <c r="B15" i="4"/>
  <c r="C15" i="4" s="1"/>
  <c r="D15" i="4"/>
  <c r="B16" i="4"/>
  <c r="C16" i="4" s="1"/>
  <c r="B17" i="4"/>
  <c r="C17" i="4"/>
  <c r="D17" i="4"/>
  <c r="B18" i="4"/>
  <c r="C18" i="4"/>
  <c r="D18" i="4"/>
  <c r="B19" i="4"/>
  <c r="C19" i="4" s="1"/>
  <c r="B20" i="4"/>
  <c r="C20" i="4" s="1"/>
  <c r="B21" i="4"/>
  <c r="C21" i="4"/>
  <c r="D21" i="4"/>
  <c r="B22" i="4"/>
  <c r="C22" i="4" s="1"/>
  <c r="D22" i="4"/>
  <c r="B23" i="4"/>
  <c r="C23" i="4" s="1"/>
  <c r="D23" i="4"/>
  <c r="B24" i="4"/>
  <c r="C24" i="4" s="1"/>
  <c r="B25" i="4"/>
  <c r="C25" i="4"/>
  <c r="D25" i="4"/>
  <c r="B26" i="4"/>
  <c r="C26" i="4"/>
  <c r="D26" i="4"/>
  <c r="B27" i="4"/>
  <c r="C27" i="4" s="1"/>
  <c r="B28" i="4"/>
  <c r="D28" i="4" s="1"/>
  <c r="C28" i="4"/>
  <c r="B29" i="4"/>
  <c r="C29" i="4"/>
  <c r="D29" i="4"/>
  <c r="B30" i="4"/>
  <c r="C30" i="4" s="1"/>
  <c r="D30" i="4"/>
  <c r="B31" i="4"/>
  <c r="C31" i="4" s="1"/>
  <c r="B32" i="4"/>
  <c r="C32" i="4" s="1"/>
  <c r="B33" i="4"/>
  <c r="C33" i="4"/>
  <c r="D33" i="4"/>
  <c r="B34" i="4"/>
  <c r="C34" i="4"/>
  <c r="D34" i="4"/>
  <c r="B35" i="4"/>
  <c r="C35" i="4" s="1"/>
  <c r="B36" i="4"/>
  <c r="D36" i="4" s="1"/>
  <c r="C36" i="4"/>
  <c r="B37" i="4"/>
  <c r="C37" i="4"/>
  <c r="D37" i="4"/>
  <c r="B38" i="4"/>
  <c r="C38" i="4" s="1"/>
  <c r="D38" i="4"/>
  <c r="B39" i="4"/>
  <c r="C39" i="4" s="1"/>
  <c r="B40" i="4"/>
  <c r="D40" i="4" s="1"/>
  <c r="C40" i="4"/>
  <c r="B41" i="4"/>
  <c r="C41" i="4"/>
  <c r="D41" i="4"/>
  <c r="B42" i="4"/>
  <c r="C42" i="4"/>
  <c r="D42" i="4"/>
  <c r="B43" i="4"/>
  <c r="C43" i="4" s="1"/>
  <c r="B44" i="4"/>
  <c r="D44" i="4" s="1"/>
  <c r="C44" i="4"/>
  <c r="B45" i="4"/>
  <c r="C45" i="4"/>
  <c r="D45" i="4"/>
  <c r="B46" i="4"/>
  <c r="C46" i="4" s="1"/>
  <c r="D46" i="4"/>
  <c r="B47" i="4"/>
  <c r="C47" i="4" s="1"/>
  <c r="B48" i="4"/>
  <c r="D48" i="4" s="1"/>
  <c r="C48" i="4"/>
  <c r="B49" i="4"/>
  <c r="C49" i="4"/>
  <c r="D49" i="4"/>
  <c r="B50" i="4"/>
  <c r="C50" i="4"/>
  <c r="D50" i="4"/>
  <c r="B51" i="4"/>
  <c r="C51" i="4" s="1"/>
  <c r="B52" i="4"/>
  <c r="D52" i="4" s="1"/>
  <c r="C52" i="4"/>
  <c r="B53" i="4"/>
  <c r="C53" i="4"/>
  <c r="D53" i="4"/>
  <c r="B2" i="4"/>
  <c r="C2" i="4" s="1"/>
  <c r="D3" i="3"/>
  <c r="D4" i="3"/>
  <c r="D5" i="3"/>
  <c r="D6" i="3"/>
  <c r="D7" i="3"/>
  <c r="D8" i="3"/>
  <c r="D9" i="3"/>
  <c r="D10" i="3"/>
  <c r="D11" i="3"/>
  <c r="D12" i="3"/>
  <c r="D13" i="3"/>
  <c r="D14" i="3"/>
  <c r="D15" i="3"/>
  <c r="D16" i="3"/>
  <c r="D17" i="3"/>
  <c r="D18" i="3"/>
  <c r="D19" i="3"/>
  <c r="D20" i="3"/>
  <c r="D21" i="3"/>
  <c r="D22" i="3"/>
  <c r="D23" i="3"/>
  <c r="D24" i="3"/>
  <c r="D25" i="3"/>
  <c r="D26" i="3"/>
  <c r="D27" i="3"/>
  <c r="D28" i="3"/>
  <c r="D29" i="3"/>
  <c r="D30" i="3"/>
  <c r="D31" i="3"/>
  <c r="D32" i="3"/>
  <c r="D2" i="3"/>
  <c r="C3" i="3"/>
  <c r="C4" i="3"/>
  <c r="C5" i="3"/>
  <c r="C6" i="3"/>
  <c r="C7" i="3"/>
  <c r="C8" i="3"/>
  <c r="C9" i="3"/>
  <c r="C10" i="3"/>
  <c r="C11" i="3"/>
  <c r="C12" i="3"/>
  <c r="C13" i="3"/>
  <c r="C14" i="3"/>
  <c r="C15" i="3"/>
  <c r="C16" i="3"/>
  <c r="C17" i="3"/>
  <c r="C18" i="3"/>
  <c r="C19" i="3"/>
  <c r="C20" i="3"/>
  <c r="C21" i="3"/>
  <c r="C22" i="3"/>
  <c r="C23" i="3"/>
  <c r="C24" i="3"/>
  <c r="C25" i="3"/>
  <c r="C26" i="3"/>
  <c r="C27" i="3"/>
  <c r="C28" i="3"/>
  <c r="C29" i="3"/>
  <c r="C30" i="3"/>
  <c r="C31" i="3"/>
  <c r="C32" i="3"/>
  <c r="C2" i="3"/>
  <c r="B3" i="3"/>
  <c r="B4" i="3"/>
  <c r="B5" i="3"/>
  <c r="B6" i="3"/>
  <c r="B7" i="3"/>
  <c r="B8" i="3"/>
  <c r="B9" i="3"/>
  <c r="B10" i="3"/>
  <c r="B11" i="3"/>
  <c r="B12" i="3"/>
  <c r="B13" i="3"/>
  <c r="B14" i="3"/>
  <c r="B15" i="3"/>
  <c r="B16" i="3"/>
  <c r="B17" i="3"/>
  <c r="B18" i="3"/>
  <c r="B19" i="3"/>
  <c r="B20" i="3"/>
  <c r="B21" i="3"/>
  <c r="B22" i="3"/>
  <c r="B23" i="3"/>
  <c r="B24" i="3"/>
  <c r="B25" i="3"/>
  <c r="B26" i="3"/>
  <c r="B27" i="3"/>
  <c r="B28" i="3"/>
  <c r="B29" i="3"/>
  <c r="B30" i="3"/>
  <c r="B31" i="3"/>
  <c r="B32" i="3"/>
  <c r="B2" i="3"/>
  <c r="C3" i="2"/>
  <c r="D2" i="2"/>
  <c r="C2" i="2"/>
  <c r="A62" i="1"/>
  <c r="B62" i="1" s="1"/>
  <c r="A9" i="1"/>
  <c r="B9" i="1" s="1"/>
  <c r="E3" i="2" a="1"/>
  <c r="E5" i="2" a="1"/>
  <c r="E9" i="2" a="1"/>
  <c r="E11" i="2" a="1"/>
  <c r="E13" i="2" a="1"/>
  <c r="E15" i="2" a="1"/>
  <c r="E19" i="2" a="1"/>
  <c r="E23" i="2" a="1"/>
  <c r="E27" i="2" a="1"/>
  <c r="E31" i="2" a="1"/>
  <c r="E35" i="2" a="1"/>
  <c r="E39" i="2" a="1"/>
  <c r="E43" i="2" a="1"/>
  <c r="E49" i="2" a="1"/>
  <c r="E53" i="2" a="1"/>
  <c r="E57" i="2" a="1"/>
  <c r="E61" i="2" a="1"/>
  <c r="E65" i="2" a="1"/>
  <c r="E54" i="2" a="1"/>
  <c r="E64" i="2" a="1"/>
  <c r="F64" i="2" a="1"/>
  <c r="F5" i="2" a="1"/>
  <c r="F13" i="2" a="1"/>
  <c r="F19" i="2" a="1"/>
  <c r="F23" i="2" a="1"/>
  <c r="F27" i="2" a="1"/>
  <c r="F31" i="2" a="1"/>
  <c r="F35" i="2" a="1"/>
  <c r="F39" i="2" a="1"/>
  <c r="F43" i="2" a="1"/>
  <c r="F47" i="2" a="1"/>
  <c r="F51" i="2" a="1"/>
  <c r="F55" i="2" a="1"/>
  <c r="F57" i="2" a="1"/>
  <c r="F61" i="2" a="1"/>
  <c r="F65" i="2" a="1"/>
  <c r="E50" i="2" a="1"/>
  <c r="E58" i="2" a="1"/>
  <c r="F60" i="2" a="1"/>
  <c r="F3" i="2" a="1"/>
  <c r="F7" i="2" a="1"/>
  <c r="F9" i="2" a="1"/>
  <c r="F11" i="2" a="1"/>
  <c r="F15" i="2" a="1"/>
  <c r="F17" i="2" a="1"/>
  <c r="F21" i="2" a="1"/>
  <c r="F25" i="2" a="1"/>
  <c r="F29" i="2" a="1"/>
  <c r="F33" i="2" a="1"/>
  <c r="F37" i="2" a="1"/>
  <c r="F41" i="2" a="1"/>
  <c r="F45" i="2" a="1"/>
  <c r="F49" i="2" a="1"/>
  <c r="F53" i="2" a="1"/>
  <c r="F59" i="2" a="1"/>
  <c r="F63" i="2" a="1"/>
  <c r="E46" i="2" a="1"/>
  <c r="E60" i="2" a="1"/>
  <c r="E38" i="2" a="1"/>
  <c r="E4" i="2" a="1"/>
  <c r="E6" i="2" a="1"/>
  <c r="E8" i="2" a="1"/>
  <c r="E10" i="2" a="1"/>
  <c r="E12" i="2" a="1"/>
  <c r="E14" i="2" a="1"/>
  <c r="E16" i="2" a="1"/>
  <c r="E18" i="2" a="1"/>
  <c r="E20" i="2" a="1"/>
  <c r="E22" i="2" a="1"/>
  <c r="E24" i="2" a="1"/>
  <c r="E26" i="2" a="1"/>
  <c r="E28" i="2" a="1"/>
  <c r="E30" i="2" a="1"/>
  <c r="E32" i="2" a="1"/>
  <c r="E34" i="2" a="1"/>
  <c r="E36" i="2" a="1"/>
  <c r="E40" i="2" a="1"/>
  <c r="E42" i="2" a="1"/>
  <c r="E44" i="2" a="1"/>
  <c r="E52" i="2" a="1"/>
  <c r="E62" i="2" a="1"/>
  <c r="F4" i="2" a="1"/>
  <c r="F6" i="2" a="1"/>
  <c r="F8" i="2" a="1"/>
  <c r="F10" i="2" a="1"/>
  <c r="F12" i="2" a="1"/>
  <c r="F14" i="2" a="1"/>
  <c r="F16" i="2" a="1"/>
  <c r="F18" i="2" a="1"/>
  <c r="F20" i="2" a="1"/>
  <c r="F22" i="2" a="1"/>
  <c r="F24" i="2" a="1"/>
  <c r="F26" i="2" a="1"/>
  <c r="F28" i="2" a="1"/>
  <c r="F30" i="2" a="1"/>
  <c r="F32" i="2" a="1"/>
  <c r="F34" i="2" a="1"/>
  <c r="F36" i="2" a="1"/>
  <c r="F38" i="2" a="1"/>
  <c r="F40" i="2" a="1"/>
  <c r="F42" i="2" a="1"/>
  <c r="F44" i="2" a="1"/>
  <c r="F46" i="2" a="1"/>
  <c r="F48" i="2" a="1"/>
  <c r="F50" i="2" a="1"/>
  <c r="F52" i="2" a="1"/>
  <c r="F54" i="2" a="1"/>
  <c r="F56" i="2" a="1"/>
  <c r="F58" i="2" a="1"/>
  <c r="E7" i="2" a="1"/>
  <c r="E17" i="2" a="1"/>
  <c r="E21" i="2" a="1"/>
  <c r="E25" i="2" a="1"/>
  <c r="E29" i="2" a="1"/>
  <c r="E33" i="2" a="1"/>
  <c r="E37" i="2" a="1"/>
  <c r="E41" i="2" a="1"/>
  <c r="E45" i="2" a="1"/>
  <c r="E47" i="2" a="1"/>
  <c r="E51" i="2" a="1"/>
  <c r="E55" i="2" a="1"/>
  <c r="E59" i="2" a="1"/>
  <c r="E63" i="2" a="1"/>
  <c r="E48" i="2" a="1"/>
  <c r="E56" i="2" a="1"/>
  <c r="F62" i="2" a="1"/>
  <c r="E2" i="2" a="1"/>
  <c r="F2" i="2" a="1"/>
  <c r="C4" i="2" a="1"/>
  <c r="G24" i="10" l="1" a="1"/>
  <c r="G24" i="10" s="1"/>
  <c r="D24" i="10"/>
  <c r="E24" i="10" s="1"/>
  <c r="F24" i="10" s="1"/>
  <c r="D5" i="10"/>
  <c r="E5" i="10" s="1"/>
  <c r="F5" i="10" s="1"/>
  <c r="D6" i="10"/>
  <c r="E6" i="10" s="1"/>
  <c r="F6" i="10" s="1"/>
  <c r="G6" i="10" a="1"/>
  <c r="G6" i="10" s="1"/>
  <c r="G12" i="10" a="1"/>
  <c r="G12" i="10" s="1"/>
  <c r="E16" i="10"/>
  <c r="F16" i="10" s="1"/>
  <c r="D23" i="10"/>
  <c r="E23" i="10" s="1"/>
  <c r="F23" i="10" s="1"/>
  <c r="G23" i="10" a="1"/>
  <c r="G23" i="10" s="1"/>
  <c r="D7" i="10"/>
  <c r="E7" i="10" s="1"/>
  <c r="F7" i="10" s="1"/>
  <c r="G7" i="10" a="1"/>
  <c r="G7" i="10" s="1"/>
  <c r="D13" i="10"/>
  <c r="E13" i="10" s="1"/>
  <c r="F13" i="10" s="1"/>
  <c r="D14" i="10"/>
  <c r="E14" i="10" s="1"/>
  <c r="F14" i="10" s="1"/>
  <c r="E8" i="10"/>
  <c r="F8" i="10" s="1"/>
  <c r="G8" i="10" a="1"/>
  <c r="G8" i="10" s="1"/>
  <c r="D15" i="10"/>
  <c r="E15" i="10" s="1"/>
  <c r="F15" i="10" s="1"/>
  <c r="G15" i="10" a="1"/>
  <c r="G15" i="10" s="1"/>
  <c r="G21" i="10" a="1"/>
  <c r="G21" i="10" s="1"/>
  <c r="D21" i="10"/>
  <c r="E21" i="10" s="1"/>
  <c r="F21" i="10" s="1"/>
  <c r="D22" i="10"/>
  <c r="E22" i="10" s="1"/>
  <c r="F22" i="10" s="1"/>
  <c r="G22" i="10" a="1"/>
  <c r="G22" i="10" s="1"/>
  <c r="C11" i="10"/>
  <c r="D11" i="10" s="1"/>
  <c r="E11" i="10" s="1"/>
  <c r="F11" i="10" s="1"/>
  <c r="D12" i="10"/>
  <c r="E12" i="10" s="1"/>
  <c r="F12" i="10" s="1"/>
  <c r="D20" i="10"/>
  <c r="E20" i="10" s="1"/>
  <c r="F20" i="10" s="1"/>
  <c r="C10" i="10"/>
  <c r="D10" i="10" s="1"/>
  <c r="E10" i="10" s="1"/>
  <c r="F10" i="10" s="1"/>
  <c r="C18" i="10"/>
  <c r="D18" i="10" s="1"/>
  <c r="E18" i="10" s="1"/>
  <c r="F18" i="10" s="1"/>
  <c r="D4" i="10"/>
  <c r="E4" i="10" s="1"/>
  <c r="F4" i="10" s="1"/>
  <c r="C9" i="10"/>
  <c r="D9" i="10" s="1"/>
  <c r="E9" i="10" s="1"/>
  <c r="F9" i="10" s="1"/>
  <c r="C17" i="10"/>
  <c r="D17" i="10" s="1"/>
  <c r="E17" i="10" s="1"/>
  <c r="F17" i="10" s="1"/>
  <c r="C25" i="10"/>
  <c r="D25" i="10" s="1"/>
  <c r="E25" i="10" s="1"/>
  <c r="F25" i="10" s="1"/>
  <c r="C3" i="10"/>
  <c r="D3" i="10" s="1"/>
  <c r="E3" i="10" s="1"/>
  <c r="F3" i="10" s="1"/>
  <c r="G19" i="10" a="1"/>
  <c r="G19" i="10" s="1"/>
  <c r="C11" i="9"/>
  <c r="C19" i="9"/>
  <c r="D3" i="9"/>
  <c r="C6" i="9"/>
  <c r="C14" i="9"/>
  <c r="C22" i="9"/>
  <c r="D27" i="9"/>
  <c r="C30" i="9"/>
  <c r="D35" i="9"/>
  <c r="C38" i="9"/>
  <c r="C7" i="9"/>
  <c r="C15" i="9"/>
  <c r="C23" i="9"/>
  <c r="C31" i="9"/>
  <c r="M12" i="8"/>
  <c r="C5" i="8"/>
  <c r="D5" i="8" s="1"/>
  <c r="E5" i="8" s="1"/>
  <c r="J8" i="8"/>
  <c r="C2" i="8"/>
  <c r="K2" i="8" s="1"/>
  <c r="G12" i="8" a="1"/>
  <c r="G12" i="8" s="1"/>
  <c r="X12" i="8" s="1"/>
  <c r="C9" i="8"/>
  <c r="D9" i="8" s="1"/>
  <c r="E9" i="8" s="1"/>
  <c r="C4" i="8"/>
  <c r="D4" i="8" s="1"/>
  <c r="E4" i="8" s="1"/>
  <c r="D8" i="8"/>
  <c r="E8" i="8" s="1"/>
  <c r="D7" i="8"/>
  <c r="E7" i="8" s="1"/>
  <c r="V7" i="8" s="1"/>
  <c r="D25" i="8"/>
  <c r="K25" i="8"/>
  <c r="C29" i="8"/>
  <c r="C36" i="8"/>
  <c r="C20" i="8"/>
  <c r="J28" i="8"/>
  <c r="V5" i="8"/>
  <c r="J7" i="8"/>
  <c r="C35" i="8"/>
  <c r="C27" i="8"/>
  <c r="C19" i="8"/>
  <c r="C11" i="8"/>
  <c r="C3" i="8"/>
  <c r="J35" i="8"/>
  <c r="J27" i="8"/>
  <c r="J19" i="8"/>
  <c r="W12" i="8"/>
  <c r="C37" i="8"/>
  <c r="C28" i="8"/>
  <c r="J36" i="8"/>
  <c r="J20" i="8"/>
  <c r="G9" i="8" a="1"/>
  <c r="G9" i="8" s="1"/>
  <c r="X9" i="8" s="1"/>
  <c r="V9" i="8"/>
  <c r="J12" i="8"/>
  <c r="C34" i="8"/>
  <c r="C26" i="8"/>
  <c r="C18" i="8"/>
  <c r="C10" i="8"/>
  <c r="J26" i="8"/>
  <c r="J18" i="8"/>
  <c r="G7" i="8" a="1"/>
  <c r="G7" i="8" s="1"/>
  <c r="X7" i="8" s="1"/>
  <c r="V12" i="8"/>
  <c r="V4" i="8"/>
  <c r="C33" i="8"/>
  <c r="J25" i="8"/>
  <c r="C21" i="8"/>
  <c r="J17" i="8"/>
  <c r="C40" i="8"/>
  <c r="C32" i="8"/>
  <c r="C24" i="8"/>
  <c r="C16" i="8"/>
  <c r="J40" i="8"/>
  <c r="J32" i="8"/>
  <c r="J24" i="8"/>
  <c r="C17" i="8"/>
  <c r="J4" i="8"/>
  <c r="C39" i="8"/>
  <c r="C31" i="8"/>
  <c r="C23" i="8"/>
  <c r="C15" i="8"/>
  <c r="J39" i="8"/>
  <c r="J31" i="8"/>
  <c r="J23" i="8"/>
  <c r="C13" i="8"/>
  <c r="C41" i="8"/>
  <c r="C38" i="8"/>
  <c r="C30" i="8"/>
  <c r="C22" i="8"/>
  <c r="C14" i="8"/>
  <c r="C6" i="8"/>
  <c r="J30" i="8"/>
  <c r="J22" i="8"/>
  <c r="J14" i="8"/>
  <c r="J29" i="8"/>
  <c r="K7" i="8"/>
  <c r="K8" i="8"/>
  <c r="K12" i="8"/>
  <c r="K4" i="8"/>
  <c r="K9" i="8"/>
  <c r="C36" i="7"/>
  <c r="E36" i="7" s="1"/>
  <c r="C38" i="7"/>
  <c r="E38" i="7" s="1"/>
  <c r="C40" i="7"/>
  <c r="E40" i="7" s="1"/>
  <c r="C42" i="7"/>
  <c r="E42" i="7" s="1"/>
  <c r="C44" i="7"/>
  <c r="E44" i="7" s="1"/>
  <c r="C46" i="7"/>
  <c r="E46" i="7" s="1"/>
  <c r="C48" i="7"/>
  <c r="E48" i="7" s="1"/>
  <c r="C50" i="7"/>
  <c r="E50" i="7" s="1"/>
  <c r="C52" i="7"/>
  <c r="E52" i="7" s="1"/>
  <c r="C54" i="7"/>
  <c r="E54" i="7" s="1"/>
  <c r="C56" i="7"/>
  <c r="E56" i="7" s="1"/>
  <c r="C58" i="7"/>
  <c r="E58" i="7" s="1"/>
  <c r="C60" i="7"/>
  <c r="E60" i="7" s="1"/>
  <c r="C62" i="7"/>
  <c r="E62" i="7" s="1"/>
  <c r="C64" i="7"/>
  <c r="E64" i="7" s="1"/>
  <c r="C35" i="7"/>
  <c r="E35" i="7" s="1"/>
  <c r="C37" i="7"/>
  <c r="E37" i="7" s="1"/>
  <c r="C39" i="7"/>
  <c r="E39" i="7" s="1"/>
  <c r="C41" i="7"/>
  <c r="E41" i="7" s="1"/>
  <c r="C43" i="7"/>
  <c r="E43" i="7" s="1"/>
  <c r="C45" i="7"/>
  <c r="E45" i="7" s="1"/>
  <c r="C47" i="7"/>
  <c r="E47" i="7" s="1"/>
  <c r="C49" i="7"/>
  <c r="E49" i="7" s="1"/>
  <c r="C51" i="7"/>
  <c r="E51" i="7" s="1"/>
  <c r="C53" i="7"/>
  <c r="E53" i="7" s="1"/>
  <c r="C55" i="7"/>
  <c r="E55" i="7" s="1"/>
  <c r="C57" i="7"/>
  <c r="E57" i="7" s="1"/>
  <c r="C59" i="7"/>
  <c r="E59" i="7" s="1"/>
  <c r="C61" i="7"/>
  <c r="E61" i="7" s="1"/>
  <c r="C63" i="7"/>
  <c r="E63" i="7" s="1"/>
  <c r="C65" i="7"/>
  <c r="E65" i="7" s="1"/>
  <c r="D32" i="7"/>
  <c r="D30" i="7"/>
  <c r="D28" i="7"/>
  <c r="D26" i="7"/>
  <c r="D24" i="7"/>
  <c r="C2" i="7"/>
  <c r="E2" i="7" s="1"/>
  <c r="C4" i="7"/>
  <c r="E4" i="7" s="1"/>
  <c r="C6" i="7"/>
  <c r="E6" i="7" s="1"/>
  <c r="C8" i="7"/>
  <c r="E8" i="7" s="1"/>
  <c r="C10" i="7"/>
  <c r="E10" i="7" s="1"/>
  <c r="C12" i="7"/>
  <c r="E12" i="7" s="1"/>
  <c r="C14" i="7"/>
  <c r="E14" i="7" s="1"/>
  <c r="C16" i="7"/>
  <c r="E16" i="7" s="1"/>
  <c r="C18" i="7"/>
  <c r="E18" i="7" s="1"/>
  <c r="C20" i="7"/>
  <c r="E20" i="7" s="1"/>
  <c r="C22" i="7"/>
  <c r="E22" i="7" s="1"/>
  <c r="C3" i="7"/>
  <c r="E3" i="7" s="1"/>
  <c r="C5" i="7"/>
  <c r="E5" i="7" s="1"/>
  <c r="C7" i="7"/>
  <c r="E7" i="7" s="1"/>
  <c r="C9" i="7"/>
  <c r="E9" i="7" s="1"/>
  <c r="C11" i="7"/>
  <c r="E11" i="7" s="1"/>
  <c r="C13" i="7"/>
  <c r="E13" i="7" s="1"/>
  <c r="C15" i="7"/>
  <c r="E15" i="7" s="1"/>
  <c r="C17" i="7"/>
  <c r="E17" i="7" s="1"/>
  <c r="C19" i="7"/>
  <c r="E19" i="7" s="1"/>
  <c r="C21" i="7"/>
  <c r="E21" i="7" s="1"/>
  <c r="C23" i="7"/>
  <c r="E23" i="7" s="1"/>
  <c r="E55" i="6"/>
  <c r="F55" i="6"/>
  <c r="E36" i="6"/>
  <c r="F36" i="6"/>
  <c r="E30" i="6"/>
  <c r="F30" i="6"/>
  <c r="F54" i="6"/>
  <c r="E54" i="6"/>
  <c r="E15" i="6"/>
  <c r="F15" i="6"/>
  <c r="E39" i="6"/>
  <c r="F39" i="6"/>
  <c r="E20" i="6"/>
  <c r="F20" i="6"/>
  <c r="E14" i="6"/>
  <c r="F14" i="6"/>
  <c r="E44" i="6"/>
  <c r="F44" i="6"/>
  <c r="F38" i="6"/>
  <c r="E38" i="6"/>
  <c r="E23" i="6"/>
  <c r="F23" i="6"/>
  <c r="E31" i="6"/>
  <c r="F31" i="6"/>
  <c r="E47" i="6"/>
  <c r="F47" i="6"/>
  <c r="E28" i="6"/>
  <c r="F28" i="6"/>
  <c r="E22" i="6"/>
  <c r="F22" i="6"/>
  <c r="E52" i="6"/>
  <c r="F52" i="6"/>
  <c r="F46" i="6"/>
  <c r="E46" i="6"/>
  <c r="E12" i="6"/>
  <c r="F12" i="6"/>
  <c r="D54" i="6"/>
  <c r="D46" i="6"/>
  <c r="D38" i="6"/>
  <c r="D30" i="6"/>
  <c r="D22" i="6"/>
  <c r="D14" i="6"/>
  <c r="F50" i="6"/>
  <c r="F42" i="6"/>
  <c r="F34" i="6"/>
  <c r="F26" i="6"/>
  <c r="F18" i="6"/>
  <c r="D12" i="6"/>
  <c r="E58" i="6"/>
  <c r="D55" i="6"/>
  <c r="F53" i="6"/>
  <c r="D47" i="6"/>
  <c r="F45" i="6"/>
  <c r="D39" i="6"/>
  <c r="F37" i="6"/>
  <c r="D31" i="6"/>
  <c r="F29" i="6"/>
  <c r="D23" i="6"/>
  <c r="F21" i="6"/>
  <c r="D15" i="6"/>
  <c r="F13" i="6"/>
  <c r="D2" i="6"/>
  <c r="C5" i="6"/>
  <c r="E5" i="6" s="1"/>
  <c r="D10" i="6"/>
  <c r="E6" i="6"/>
  <c r="E2" i="6"/>
  <c r="E10" i="6"/>
  <c r="C4" i="6"/>
  <c r="C8" i="6"/>
  <c r="C3" i="6"/>
  <c r="C7" i="6"/>
  <c r="C11" i="6"/>
  <c r="D39" i="4"/>
  <c r="D31" i="4"/>
  <c r="D47" i="4"/>
  <c r="D20" i="4"/>
  <c r="D12" i="4"/>
  <c r="D4" i="4"/>
  <c r="D51" i="4"/>
  <c r="D43" i="4"/>
  <c r="D35" i="4"/>
  <c r="D27" i="4"/>
  <c r="D19" i="4"/>
  <c r="D11" i="4"/>
  <c r="D3" i="4"/>
  <c r="D32" i="4"/>
  <c r="D24" i="4"/>
  <c r="D16" i="4"/>
  <c r="D8" i="4"/>
  <c r="D2" i="4"/>
  <c r="F62" i="2"/>
  <c r="E56" i="2"/>
  <c r="E48" i="2"/>
  <c r="E63" i="2"/>
  <c r="E59" i="2"/>
  <c r="E55" i="2"/>
  <c r="E51" i="2"/>
  <c r="E47" i="2"/>
  <c r="E45" i="2"/>
  <c r="E41" i="2"/>
  <c r="E37" i="2"/>
  <c r="E33" i="2"/>
  <c r="E29" i="2"/>
  <c r="E25" i="2"/>
  <c r="E21" i="2"/>
  <c r="E17" i="2"/>
  <c r="E7" i="2"/>
  <c r="F58" i="2"/>
  <c r="F56" i="2"/>
  <c r="F54" i="2"/>
  <c r="F52" i="2"/>
  <c r="F50" i="2"/>
  <c r="F48" i="2"/>
  <c r="F46" i="2"/>
  <c r="F44" i="2"/>
  <c r="F42" i="2"/>
  <c r="F40" i="2"/>
  <c r="F38" i="2"/>
  <c r="F36" i="2"/>
  <c r="F34" i="2"/>
  <c r="F32" i="2"/>
  <c r="F30" i="2"/>
  <c r="F28" i="2"/>
  <c r="F26" i="2"/>
  <c r="F24" i="2"/>
  <c r="F22" i="2"/>
  <c r="F20" i="2"/>
  <c r="F18" i="2"/>
  <c r="F16" i="2"/>
  <c r="F14" i="2"/>
  <c r="F12" i="2"/>
  <c r="F10" i="2"/>
  <c r="F8" i="2"/>
  <c r="F6" i="2"/>
  <c r="F4" i="2"/>
  <c r="E62" i="2"/>
  <c r="E52" i="2"/>
  <c r="E44" i="2"/>
  <c r="E42" i="2"/>
  <c r="E40" i="2"/>
  <c r="E36" i="2"/>
  <c r="E34" i="2"/>
  <c r="E32" i="2"/>
  <c r="E30" i="2"/>
  <c r="E28" i="2"/>
  <c r="E26" i="2"/>
  <c r="E24" i="2"/>
  <c r="E22" i="2"/>
  <c r="E20" i="2"/>
  <c r="E18" i="2"/>
  <c r="E16" i="2"/>
  <c r="E14" i="2"/>
  <c r="E12" i="2"/>
  <c r="E10" i="2"/>
  <c r="E8" i="2"/>
  <c r="E6" i="2"/>
  <c r="E4" i="2"/>
  <c r="E38" i="2"/>
  <c r="E60" i="2"/>
  <c r="E46" i="2"/>
  <c r="F63" i="2"/>
  <c r="F59" i="2"/>
  <c r="F53" i="2"/>
  <c r="F49" i="2"/>
  <c r="F45" i="2"/>
  <c r="F41" i="2"/>
  <c r="F37" i="2"/>
  <c r="F33" i="2"/>
  <c r="F29" i="2"/>
  <c r="F25" i="2"/>
  <c r="F21" i="2"/>
  <c r="F17" i="2"/>
  <c r="F15" i="2"/>
  <c r="F11" i="2"/>
  <c r="F9" i="2"/>
  <c r="F7" i="2"/>
  <c r="F3" i="2"/>
  <c r="F60" i="2"/>
  <c r="E58" i="2"/>
  <c r="E50" i="2"/>
  <c r="F65" i="2"/>
  <c r="F61" i="2"/>
  <c r="F57" i="2"/>
  <c r="F55" i="2"/>
  <c r="F51" i="2"/>
  <c r="F47" i="2"/>
  <c r="F43" i="2"/>
  <c r="F39" i="2"/>
  <c r="F35" i="2"/>
  <c r="F31" i="2"/>
  <c r="F27" i="2"/>
  <c r="F23" i="2"/>
  <c r="F19" i="2"/>
  <c r="F13" i="2"/>
  <c r="F5" i="2"/>
  <c r="F64" i="2"/>
  <c r="E64" i="2"/>
  <c r="E54" i="2"/>
  <c r="E65" i="2"/>
  <c r="E61" i="2"/>
  <c r="E57" i="2"/>
  <c r="E53" i="2"/>
  <c r="E49" i="2"/>
  <c r="E43" i="2"/>
  <c r="E39" i="2"/>
  <c r="E35" i="2"/>
  <c r="E31" i="2"/>
  <c r="E27" i="2"/>
  <c r="E23" i="2"/>
  <c r="E19" i="2"/>
  <c r="E15" i="2"/>
  <c r="E13" i="2"/>
  <c r="E11" i="2"/>
  <c r="E9" i="2"/>
  <c r="E5" i="2"/>
  <c r="E3" i="2"/>
  <c r="E2" i="2"/>
  <c r="F2" i="2"/>
  <c r="C4" i="2"/>
  <c r="A63" i="1"/>
  <c r="A10" i="1"/>
  <c r="G5" i="10" l="1" a="1"/>
  <c r="G5" i="10" s="1"/>
  <c r="G13" i="10" a="1"/>
  <c r="G13" i="10" s="1"/>
  <c r="G10" i="10" a="1"/>
  <c r="G10" i="10" s="1"/>
  <c r="G3" i="10" a="1"/>
  <c r="G3" i="10" s="1"/>
  <c r="G17" i="10" a="1"/>
  <c r="G17" i="10" s="1"/>
  <c r="G25" i="10" a="1"/>
  <c r="G25" i="10" s="1"/>
  <c r="G11" i="10" a="1"/>
  <c r="G11" i="10" s="1"/>
  <c r="G20" i="10" a="1"/>
  <c r="G20" i="10" s="1"/>
  <c r="G18" i="10" a="1"/>
  <c r="G18" i="10" s="1"/>
  <c r="G4" i="10" a="1"/>
  <c r="G4" i="10" s="1"/>
  <c r="G14" i="10" a="1"/>
  <c r="G14" i="10" s="1"/>
  <c r="G16" i="10" a="1"/>
  <c r="G16" i="10" s="1"/>
  <c r="G9" i="10" a="1"/>
  <c r="G9" i="10" s="1"/>
  <c r="G8" i="8" a="1"/>
  <c r="G8" i="8" s="1"/>
  <c r="X8" i="8" s="1"/>
  <c r="F8" i="8"/>
  <c r="O8" i="8" s="1"/>
  <c r="M8" i="8"/>
  <c r="V8" i="8"/>
  <c r="F4" i="8"/>
  <c r="O4" i="8" s="1"/>
  <c r="M4" i="8"/>
  <c r="G5" i="8" a="1"/>
  <c r="G5" i="8" s="1"/>
  <c r="X5" i="8" s="1"/>
  <c r="D2" i="8"/>
  <c r="L2" i="8" s="1"/>
  <c r="F9" i="8"/>
  <c r="O9" i="8" s="1"/>
  <c r="M9" i="8"/>
  <c r="F5" i="8"/>
  <c r="O5" i="8" s="1"/>
  <c r="M5" i="8"/>
  <c r="D1" i="8"/>
  <c r="F7" i="8"/>
  <c r="O7" i="8" s="1"/>
  <c r="M7" i="8"/>
  <c r="G4" i="8" a="1"/>
  <c r="G4" i="8" s="1"/>
  <c r="X4" i="8" s="1"/>
  <c r="D15" i="8"/>
  <c r="K15" i="8"/>
  <c r="D28" i="8"/>
  <c r="K28" i="8"/>
  <c r="D14" i="8"/>
  <c r="K14" i="8"/>
  <c r="D13" i="8"/>
  <c r="K13" i="8"/>
  <c r="D34" i="8"/>
  <c r="K34" i="8"/>
  <c r="D37" i="8"/>
  <c r="K37" i="8"/>
  <c r="E25" i="8"/>
  <c r="M25" i="8" s="1"/>
  <c r="L25" i="8"/>
  <c r="U25" i="8"/>
  <c r="D22" i="8"/>
  <c r="K22" i="8"/>
  <c r="D39" i="8"/>
  <c r="K39" i="8"/>
  <c r="D33" i="8"/>
  <c r="K33" i="8"/>
  <c r="D20" i="8"/>
  <c r="K20" i="8"/>
  <c r="U2" i="8"/>
  <c r="D27" i="8"/>
  <c r="K27" i="8"/>
  <c r="D23" i="8"/>
  <c r="K23" i="8"/>
  <c r="D21" i="8"/>
  <c r="K21" i="8"/>
  <c r="D35" i="8"/>
  <c r="K35" i="8"/>
  <c r="D31" i="8"/>
  <c r="K31" i="8"/>
  <c r="D30" i="8"/>
  <c r="K30" i="8"/>
  <c r="D16" i="8"/>
  <c r="K16" i="8"/>
  <c r="D10" i="8"/>
  <c r="K10" i="8"/>
  <c r="D36" i="8"/>
  <c r="K36" i="8"/>
  <c r="D6" i="8"/>
  <c r="E6" i="8" s="1"/>
  <c r="M6" i="8" s="1"/>
  <c r="D38" i="8"/>
  <c r="K38" i="8"/>
  <c r="G6" i="8" a="1"/>
  <c r="G6" i="8" s="1"/>
  <c r="X6" i="8" s="1"/>
  <c r="D24" i="8"/>
  <c r="K24" i="8"/>
  <c r="D18" i="8"/>
  <c r="K18" i="8"/>
  <c r="D3" i="8"/>
  <c r="D29" i="8"/>
  <c r="K29" i="8"/>
  <c r="D40" i="8"/>
  <c r="K40" i="8"/>
  <c r="D19" i="8"/>
  <c r="K19" i="8"/>
  <c r="D41" i="8"/>
  <c r="K41" i="8"/>
  <c r="D17" i="8"/>
  <c r="K17" i="8"/>
  <c r="D32" i="8"/>
  <c r="K32" i="8"/>
  <c r="D26" i="8"/>
  <c r="K26" i="8"/>
  <c r="D11" i="8"/>
  <c r="E11" i="8" s="1"/>
  <c r="M11" i="8" s="1"/>
  <c r="L12" i="8"/>
  <c r="U12" i="8"/>
  <c r="K11" i="8"/>
  <c r="U8" i="8"/>
  <c r="L8" i="8"/>
  <c r="K3" i="8"/>
  <c r="U7" i="8"/>
  <c r="L7" i="8"/>
  <c r="U9" i="8"/>
  <c r="L9" i="8"/>
  <c r="K6" i="8"/>
  <c r="L4" i="8"/>
  <c r="U4" i="8"/>
  <c r="K5" i="8"/>
  <c r="E4" i="6"/>
  <c r="E8" i="6"/>
  <c r="E11" i="6"/>
  <c r="E7" i="6"/>
  <c r="E3" i="6"/>
  <c r="B63" i="1"/>
  <c r="A64" i="1"/>
  <c r="B10" i="1"/>
  <c r="A11" i="1"/>
  <c r="G2" i="8" l="1" a="1"/>
  <c r="G2" i="8" s="1"/>
  <c r="E2" i="8"/>
  <c r="M2" i="8" s="1"/>
  <c r="W8" i="8"/>
  <c r="N8" i="8"/>
  <c r="N9" i="8"/>
  <c r="W9" i="8"/>
  <c r="N4" i="8"/>
  <c r="W4" i="8"/>
  <c r="N7" i="8"/>
  <c r="W7" i="8"/>
  <c r="N5" i="8"/>
  <c r="W5" i="8"/>
  <c r="E40" i="8"/>
  <c r="M40" i="8" s="1"/>
  <c r="U40" i="8"/>
  <c r="L40" i="8"/>
  <c r="E39" i="8"/>
  <c r="M39" i="8" s="1"/>
  <c r="U39" i="8"/>
  <c r="L39" i="8"/>
  <c r="E13" i="8"/>
  <c r="M13" i="8" s="1"/>
  <c r="L13" i="8"/>
  <c r="U13" i="8"/>
  <c r="E41" i="8"/>
  <c r="M41" i="8" s="1"/>
  <c r="L41" i="8"/>
  <c r="U41" i="8"/>
  <c r="E18" i="8"/>
  <c r="M18" i="8" s="1"/>
  <c r="L18" i="8"/>
  <c r="U18" i="8"/>
  <c r="E38" i="8"/>
  <c r="M38" i="8" s="1"/>
  <c r="L38" i="8"/>
  <c r="U38" i="8"/>
  <c r="E23" i="8"/>
  <c r="M23" i="8" s="1"/>
  <c r="U23" i="8"/>
  <c r="L23" i="8"/>
  <c r="F11" i="8"/>
  <c r="O11" i="8" s="1"/>
  <c r="V11" i="8"/>
  <c r="E29" i="8"/>
  <c r="M29" i="8" s="1"/>
  <c r="L29" i="8"/>
  <c r="U29" i="8"/>
  <c r="E10" i="8"/>
  <c r="M10" i="8" s="1"/>
  <c r="U10" i="8"/>
  <c r="L10" i="8"/>
  <c r="E30" i="8"/>
  <c r="M30" i="8" s="1"/>
  <c r="L30" i="8"/>
  <c r="U30" i="8"/>
  <c r="E35" i="8"/>
  <c r="M35" i="8" s="1"/>
  <c r="L35" i="8"/>
  <c r="U35" i="8"/>
  <c r="E14" i="8"/>
  <c r="M14" i="8" s="1"/>
  <c r="L14" i="8"/>
  <c r="U14" i="8"/>
  <c r="E32" i="8"/>
  <c r="M32" i="8" s="1"/>
  <c r="L32" i="8"/>
  <c r="U32" i="8"/>
  <c r="E24" i="8"/>
  <c r="M24" i="8" s="1"/>
  <c r="U24" i="8"/>
  <c r="L24" i="8"/>
  <c r="F6" i="8"/>
  <c r="O6" i="8" s="1"/>
  <c r="V6" i="8"/>
  <c r="E27" i="8"/>
  <c r="M27" i="8" s="1"/>
  <c r="L27" i="8"/>
  <c r="U27" i="8"/>
  <c r="E22" i="8"/>
  <c r="M22" i="8" s="1"/>
  <c r="L22" i="8"/>
  <c r="U22" i="8"/>
  <c r="E20" i="8"/>
  <c r="M20" i="8" s="1"/>
  <c r="U20" i="8"/>
  <c r="L20" i="8"/>
  <c r="E19" i="8"/>
  <c r="M19" i="8" s="1"/>
  <c r="L19" i="8"/>
  <c r="U19" i="8"/>
  <c r="E3" i="8"/>
  <c r="M3" i="8" s="1"/>
  <c r="U3" i="8"/>
  <c r="F2" i="8"/>
  <c r="O2" i="8" s="1"/>
  <c r="V2" i="8"/>
  <c r="E33" i="8"/>
  <c r="M33" i="8" s="1"/>
  <c r="U33" i="8"/>
  <c r="L33" i="8"/>
  <c r="E34" i="8"/>
  <c r="M34" i="8" s="1"/>
  <c r="L34" i="8"/>
  <c r="U34" i="8"/>
  <c r="G11" i="8" a="1"/>
  <c r="G11" i="8" s="1"/>
  <c r="X11" i="8" s="1"/>
  <c r="X2" i="8"/>
  <c r="Y2" i="8"/>
  <c r="E15" i="8"/>
  <c r="M15" i="8" s="1"/>
  <c r="L15" i="8"/>
  <c r="U15" i="8"/>
  <c r="E17" i="8"/>
  <c r="M17" i="8" s="1"/>
  <c r="L17" i="8"/>
  <c r="U17" i="8"/>
  <c r="E31" i="8"/>
  <c r="M31" i="8" s="1"/>
  <c r="L31" i="8"/>
  <c r="U31" i="8"/>
  <c r="E21" i="8"/>
  <c r="M21" i="8" s="1"/>
  <c r="L21" i="8"/>
  <c r="U21" i="8"/>
  <c r="E28" i="8"/>
  <c r="M28" i="8" s="1"/>
  <c r="U28" i="8"/>
  <c r="L28" i="8"/>
  <c r="E37" i="8"/>
  <c r="M37" i="8" s="1"/>
  <c r="L37" i="8"/>
  <c r="U37" i="8"/>
  <c r="E26" i="8"/>
  <c r="M26" i="8" s="1"/>
  <c r="L26" i="8"/>
  <c r="U26" i="8"/>
  <c r="E36" i="8"/>
  <c r="M36" i="8" s="1"/>
  <c r="U36" i="8"/>
  <c r="L36" i="8"/>
  <c r="E16" i="8"/>
  <c r="M16" i="8" s="1"/>
  <c r="L16" i="8"/>
  <c r="U16" i="8"/>
  <c r="F25" i="8"/>
  <c r="O25" i="8" s="1"/>
  <c r="G25" i="8" a="1"/>
  <c r="G25" i="8" s="1"/>
  <c r="X25" i="8" s="1"/>
  <c r="V25" i="8"/>
  <c r="U5" i="8"/>
  <c r="L5" i="8"/>
  <c r="L3" i="8"/>
  <c r="L11" i="8"/>
  <c r="U11" i="8"/>
  <c r="L6" i="8"/>
  <c r="U6" i="8"/>
  <c r="B64" i="1"/>
  <c r="A65" i="1"/>
  <c r="A12" i="1"/>
  <c r="B11" i="1"/>
  <c r="W11" i="8" l="1"/>
  <c r="N11" i="8"/>
  <c r="W2" i="8"/>
  <c r="N2" i="8"/>
  <c r="W6" i="8"/>
  <c r="N6" i="8"/>
  <c r="W25" i="8"/>
  <c r="N25" i="8"/>
  <c r="F34" i="8"/>
  <c r="O34" i="8" s="1"/>
  <c r="V34" i="8"/>
  <c r="F20" i="8"/>
  <c r="O20" i="8" s="1"/>
  <c r="V20" i="8"/>
  <c r="F32" i="8"/>
  <c r="V32" i="8"/>
  <c r="F35" i="8"/>
  <c r="O35" i="8" s="1"/>
  <c r="V35" i="8"/>
  <c r="F15" i="8"/>
  <c r="O15" i="8" s="1"/>
  <c r="V15" i="8"/>
  <c r="F36" i="8"/>
  <c r="V36" i="8"/>
  <c r="F3" i="8"/>
  <c r="O3" i="8" s="1"/>
  <c r="V3" i="8"/>
  <c r="F39" i="8"/>
  <c r="O39" i="8" s="1"/>
  <c r="V39" i="8"/>
  <c r="F31" i="8"/>
  <c r="O31" i="8" s="1"/>
  <c r="V31" i="8"/>
  <c r="F26" i="8"/>
  <c r="V26" i="8"/>
  <c r="F28" i="8"/>
  <c r="V28" i="8"/>
  <c r="F33" i="8"/>
  <c r="V33" i="8"/>
  <c r="F19" i="8"/>
  <c r="O19" i="8" s="1"/>
  <c r="V19" i="8"/>
  <c r="F22" i="8"/>
  <c r="O22" i="8" s="1"/>
  <c r="V22" i="8"/>
  <c r="F30" i="8"/>
  <c r="O30" i="8" s="1"/>
  <c r="V30" i="8"/>
  <c r="F40" i="8"/>
  <c r="V40" i="8"/>
  <c r="F29" i="8"/>
  <c r="V29" i="8"/>
  <c r="F38" i="8"/>
  <c r="O38" i="8" s="1"/>
  <c r="V38" i="8"/>
  <c r="F24" i="8"/>
  <c r="V24" i="8"/>
  <c r="F14" i="8"/>
  <c r="V14" i="8"/>
  <c r="F13" i="8"/>
  <c r="V13" i="8"/>
  <c r="F41" i="8"/>
  <c r="O41" i="8" s="1"/>
  <c r="V41" i="8"/>
  <c r="F16" i="8"/>
  <c r="O16" i="8" s="1"/>
  <c r="V16" i="8"/>
  <c r="F37" i="8"/>
  <c r="O37" i="8" s="1"/>
  <c r="V37" i="8"/>
  <c r="F21" i="8"/>
  <c r="O21" i="8" s="1"/>
  <c r="V21" i="8"/>
  <c r="F17" i="8"/>
  <c r="O17" i="8" s="1"/>
  <c r="V17" i="8"/>
  <c r="G3" i="8" a="1"/>
  <c r="G3" i="8" s="1"/>
  <c r="X3" i="8" s="1"/>
  <c r="F27" i="8"/>
  <c r="O27" i="8" s="1"/>
  <c r="V27" i="8"/>
  <c r="F10" i="8"/>
  <c r="O10" i="8" s="1"/>
  <c r="V10" i="8"/>
  <c r="G10" i="8" a="1"/>
  <c r="G10" i="8" s="1"/>
  <c r="X10" i="8" s="1"/>
  <c r="F23" i="8"/>
  <c r="O23" i="8" s="1"/>
  <c r="V23" i="8"/>
  <c r="F18" i="8"/>
  <c r="V18" i="8"/>
  <c r="A66" i="1"/>
  <c r="B65" i="1"/>
  <c r="A13" i="1"/>
  <c r="B12" i="1"/>
  <c r="N14" i="8" l="1"/>
  <c r="O14" i="8"/>
  <c r="N40" i="8"/>
  <c r="O40" i="8"/>
  <c r="N33" i="8"/>
  <c r="O33" i="8"/>
  <c r="N24" i="8"/>
  <c r="O24" i="8"/>
  <c r="N28" i="8"/>
  <c r="O28" i="8"/>
  <c r="G32" i="8" a="1"/>
  <c r="G32" i="8" s="1"/>
  <c r="O32" i="8"/>
  <c r="N18" i="8"/>
  <c r="O18" i="8"/>
  <c r="G26" i="8" a="1"/>
  <c r="G26" i="8" s="1"/>
  <c r="X26" i="8" s="1"/>
  <c r="O26" i="8"/>
  <c r="N36" i="8"/>
  <c r="O36" i="8"/>
  <c r="N13" i="8"/>
  <c r="O13" i="8"/>
  <c r="N29" i="8"/>
  <c r="O29" i="8"/>
  <c r="W39" i="8"/>
  <c r="N39" i="8"/>
  <c r="W35" i="8"/>
  <c r="N35" i="8"/>
  <c r="W16" i="8"/>
  <c r="N16" i="8"/>
  <c r="W30" i="8"/>
  <c r="N30" i="8"/>
  <c r="W34" i="8"/>
  <c r="N34" i="8"/>
  <c r="W27" i="8"/>
  <c r="N27" i="8"/>
  <c r="W23" i="8"/>
  <c r="N23" i="8"/>
  <c r="W3" i="8"/>
  <c r="N3" i="8"/>
  <c r="W41" i="8"/>
  <c r="N41" i="8"/>
  <c r="W32" i="8"/>
  <c r="N32" i="8"/>
  <c r="W17" i="8"/>
  <c r="N17" i="8"/>
  <c r="W38" i="8"/>
  <c r="N38" i="8"/>
  <c r="W22" i="8"/>
  <c r="N22" i="8"/>
  <c r="W26" i="8"/>
  <c r="N26" i="8"/>
  <c r="W10" i="8"/>
  <c r="N10" i="8"/>
  <c r="W21" i="8"/>
  <c r="N21" i="8"/>
  <c r="W19" i="8"/>
  <c r="N19" i="8"/>
  <c r="W20" i="8"/>
  <c r="N20" i="8"/>
  <c r="W37" i="8"/>
  <c r="N37" i="8"/>
  <c r="G27" i="8" a="1"/>
  <c r="G27" i="8" s="1"/>
  <c r="X27" i="8" s="1"/>
  <c r="W31" i="8"/>
  <c r="N31" i="8"/>
  <c r="W15" i="8"/>
  <c r="N15" i="8"/>
  <c r="G30" i="8" a="1"/>
  <c r="G30" i="8" s="1"/>
  <c r="X30" i="8" s="1"/>
  <c r="G20" i="8" a="1"/>
  <c r="G20" i="8" s="1"/>
  <c r="X20" i="8" s="1"/>
  <c r="G41" i="8" a="1"/>
  <c r="G41" i="8" s="1"/>
  <c r="G19" i="8" a="1"/>
  <c r="G19" i="8" s="1"/>
  <c r="X19" i="8" s="1"/>
  <c r="G39" i="8" a="1"/>
  <c r="G39" i="8" s="1"/>
  <c r="G23" i="8" a="1"/>
  <c r="G23" i="8" s="1"/>
  <c r="X23" i="8" s="1"/>
  <c r="G17" i="8" a="1"/>
  <c r="G17" i="8" s="1"/>
  <c r="X17" i="8" s="1"/>
  <c r="W29" i="8"/>
  <c r="G29" i="8" a="1"/>
  <c r="G29" i="8" s="1"/>
  <c r="X29" i="8" s="1"/>
  <c r="W36" i="8"/>
  <c r="G36" i="8" a="1"/>
  <c r="G36" i="8" s="1"/>
  <c r="G15" i="8" a="1"/>
  <c r="G15" i="8" s="1"/>
  <c r="X15" i="8" s="1"/>
  <c r="W14" i="8"/>
  <c r="G14" i="8" a="1"/>
  <c r="G14" i="8" s="1"/>
  <c r="X14" i="8" s="1"/>
  <c r="G38" i="8" a="1"/>
  <c r="G38" i="8" s="1"/>
  <c r="W40" i="8"/>
  <c r="G40" i="8" a="1"/>
  <c r="G40" i="8" s="1"/>
  <c r="G31" i="8" a="1"/>
  <c r="G31" i="8" s="1"/>
  <c r="W28" i="8"/>
  <c r="G28" i="8" a="1"/>
  <c r="G28" i="8" s="1"/>
  <c r="X28" i="8" s="1"/>
  <c r="W13" i="8"/>
  <c r="G13" i="8" a="1"/>
  <c r="G13" i="8" s="1"/>
  <c r="X13" i="8" s="1"/>
  <c r="W24" i="8"/>
  <c r="G24" i="8" a="1"/>
  <c r="G24" i="8" s="1"/>
  <c r="X24" i="8" s="1"/>
  <c r="W33" i="8"/>
  <c r="G33" i="8" a="1"/>
  <c r="G33" i="8" s="1"/>
  <c r="G35" i="8" a="1"/>
  <c r="G35" i="8" s="1"/>
  <c r="G34" i="8" a="1"/>
  <c r="G34" i="8" s="1"/>
  <c r="G16" i="8" a="1"/>
  <c r="G16" i="8" s="1"/>
  <c r="X16" i="8" s="1"/>
  <c r="W18" i="8"/>
  <c r="G18" i="8" a="1"/>
  <c r="G18" i="8" s="1"/>
  <c r="X18" i="8" s="1"/>
  <c r="G22" i="8" a="1"/>
  <c r="G22" i="8" s="1"/>
  <c r="X22" i="8" s="1"/>
  <c r="G21" i="8" a="1"/>
  <c r="G21" i="8" s="1"/>
  <c r="X21" i="8" s="1"/>
  <c r="G37" i="8" a="1"/>
  <c r="G37" i="8" s="1"/>
  <c r="B66" i="1"/>
  <c r="A67" i="1"/>
  <c r="A14" i="1"/>
  <c r="B13" i="1"/>
  <c r="B67" i="1" l="1"/>
  <c r="A68" i="1"/>
  <c r="A15" i="1"/>
  <c r="B14" i="1"/>
  <c r="A69" i="1" l="1"/>
  <c r="B68" i="1"/>
  <c r="A16" i="1"/>
  <c r="B15" i="1"/>
  <c r="B69" i="1" l="1"/>
  <c r="A70" i="1"/>
  <c r="A17" i="1"/>
  <c r="B16" i="1"/>
  <c r="B70" i="1" l="1"/>
  <c r="A71" i="1"/>
  <c r="A18" i="1"/>
  <c r="B17" i="1"/>
  <c r="B71" i="1" l="1"/>
  <c r="A72" i="1"/>
  <c r="A19" i="1"/>
  <c r="B18" i="1"/>
  <c r="A73" i="1" l="1"/>
  <c r="B72" i="1"/>
  <c r="A20" i="1"/>
  <c r="B19" i="1"/>
  <c r="B73" i="1" l="1"/>
  <c r="A74" i="1"/>
  <c r="A21" i="1"/>
  <c r="B20" i="1"/>
  <c r="B74" i="1" l="1"/>
  <c r="A75" i="1"/>
  <c r="A22" i="1"/>
  <c r="B21" i="1"/>
  <c r="B75" i="1" l="1"/>
  <c r="A76" i="1"/>
  <c r="A23" i="1"/>
  <c r="B22" i="1"/>
  <c r="B76" i="1" l="1"/>
  <c r="A77" i="1"/>
  <c r="A24" i="1"/>
  <c r="B23" i="1"/>
  <c r="B77" i="1" l="1"/>
  <c r="A78" i="1"/>
  <c r="B24" i="1"/>
  <c r="A25" i="1"/>
  <c r="B78" i="1" l="1"/>
  <c r="A79" i="1"/>
  <c r="B25" i="1"/>
  <c r="A26" i="1"/>
  <c r="B79" i="1" l="1"/>
  <c r="A80" i="1"/>
  <c r="B26" i="1"/>
  <c r="A27" i="1"/>
  <c r="A81" i="1" l="1"/>
  <c r="B80" i="1"/>
  <c r="B27" i="1"/>
  <c r="A28" i="1"/>
  <c r="B81" i="1" l="1"/>
  <c r="A82" i="1"/>
  <c r="B28" i="1"/>
  <c r="A29" i="1"/>
  <c r="B82" i="1" l="1"/>
  <c r="A83" i="1"/>
  <c r="B29" i="1"/>
  <c r="A30" i="1"/>
  <c r="B83" i="1" l="1"/>
  <c r="A84" i="1"/>
  <c r="B30" i="1"/>
  <c r="A31" i="1"/>
  <c r="B84" i="1" l="1"/>
  <c r="A85" i="1"/>
  <c r="A32" i="1"/>
  <c r="B31" i="1"/>
  <c r="B85" i="1" l="1"/>
  <c r="A86" i="1"/>
  <c r="B32" i="1"/>
  <c r="A33" i="1"/>
  <c r="B86" i="1" l="1"/>
  <c r="A87" i="1"/>
  <c r="B33" i="1"/>
  <c r="A34" i="1"/>
  <c r="B87" i="1" l="1"/>
  <c r="A88" i="1"/>
  <c r="B34" i="1"/>
  <c r="A35" i="1"/>
  <c r="A89" i="1" l="1"/>
  <c r="B88" i="1"/>
  <c r="B35" i="1"/>
  <c r="A36" i="1"/>
  <c r="B89" i="1" l="1"/>
  <c r="A90" i="1"/>
  <c r="B36" i="1"/>
  <c r="A37" i="1"/>
  <c r="B90" i="1" l="1"/>
  <c r="A91" i="1"/>
  <c r="B37" i="1"/>
  <c r="A38" i="1"/>
  <c r="B91" i="1" l="1"/>
  <c r="A92" i="1"/>
  <c r="A39" i="1"/>
  <c r="B38" i="1"/>
  <c r="B92" i="1" l="1"/>
  <c r="A93" i="1"/>
  <c r="B39" i="1"/>
  <c r="A40" i="1"/>
  <c r="B93" i="1" l="1"/>
  <c r="A94" i="1"/>
  <c r="A41" i="1"/>
  <c r="B40" i="1"/>
  <c r="B94" i="1" l="1"/>
  <c r="A95" i="1"/>
  <c r="A42" i="1"/>
  <c r="B41" i="1"/>
  <c r="B95" i="1" l="1"/>
  <c r="A96" i="1"/>
  <c r="B42" i="1"/>
  <c r="A43" i="1"/>
  <c r="A97" i="1" l="1"/>
  <c r="B96" i="1"/>
  <c r="A44" i="1"/>
  <c r="B43" i="1"/>
  <c r="B97" i="1" l="1"/>
  <c r="A98" i="1"/>
  <c r="B44" i="1"/>
  <c r="A45" i="1"/>
  <c r="B98" i="1" l="1"/>
  <c r="A99" i="1"/>
  <c r="B45" i="1"/>
  <c r="A46" i="1"/>
  <c r="B99" i="1" l="1"/>
  <c r="A100" i="1"/>
  <c r="B46" i="1"/>
  <c r="A47" i="1"/>
  <c r="B100" i="1" l="1"/>
  <c r="A101" i="1"/>
  <c r="A48" i="1"/>
  <c r="B47" i="1"/>
  <c r="B101" i="1" l="1"/>
  <c r="A102" i="1"/>
  <c r="B48" i="1"/>
  <c r="A49" i="1"/>
  <c r="B102" i="1" l="1"/>
  <c r="A103" i="1"/>
  <c r="B49" i="1"/>
  <c r="A50" i="1"/>
  <c r="B103" i="1" l="1"/>
  <c r="A104" i="1"/>
  <c r="A51" i="1"/>
  <c r="B50" i="1"/>
  <c r="A105" i="1" l="1"/>
  <c r="B104" i="1"/>
  <c r="A52" i="1"/>
  <c r="B51" i="1"/>
  <c r="A106" i="1" l="1"/>
  <c r="B105" i="1"/>
  <c r="A53" i="1"/>
  <c r="B52" i="1"/>
  <c r="B106" i="1" l="1"/>
  <c r="A107" i="1"/>
  <c r="B53" i="1"/>
  <c r="A54" i="1"/>
  <c r="B107" i="1" l="1"/>
  <c r="A108" i="1"/>
  <c r="B54" i="1"/>
  <c r="A55" i="1"/>
  <c r="B108" i="1" l="1"/>
  <c r="A109" i="1"/>
  <c r="B55" i="1"/>
  <c r="A56" i="1"/>
  <c r="B109" i="1" l="1"/>
  <c r="A110" i="1"/>
  <c r="B56" i="1"/>
  <c r="A57" i="1"/>
  <c r="B110" i="1" l="1"/>
  <c r="A111" i="1"/>
  <c r="B57" i="1"/>
  <c r="A58" i="1"/>
  <c r="B111" i="1" l="1"/>
  <c r="A112" i="1"/>
  <c r="B58" i="1"/>
  <c r="A59" i="1"/>
  <c r="A113" i="1" l="1"/>
  <c r="B112" i="1"/>
  <c r="B59" i="1"/>
  <c r="A60" i="1"/>
  <c r="B113" i="1" l="1"/>
  <c r="A114" i="1"/>
  <c r="A61" i="1"/>
  <c r="B61" i="1" s="1"/>
  <c r="B60" i="1"/>
  <c r="B114" i="1" l="1"/>
  <c r="A115" i="1"/>
  <c r="B115" i="1" l="1"/>
  <c r="A116" i="1"/>
  <c r="B116" i="1" l="1"/>
  <c r="A117" i="1"/>
  <c r="A118" i="1" l="1"/>
  <c r="B117" i="1"/>
  <c r="B118" i="1" l="1"/>
  <c r="A119" i="1"/>
  <c r="B119" i="1" l="1"/>
  <c r="A120" i="1"/>
  <c r="A121" i="1" l="1"/>
  <c r="B120" i="1"/>
  <c r="A122" i="1" l="1"/>
  <c r="B121" i="1"/>
  <c r="B122" i="1" l="1"/>
  <c r="A123" i="1"/>
  <c r="B123" i="1" l="1"/>
  <c r="A124" i="1"/>
  <c r="B124" i="1" l="1"/>
  <c r="A125" i="1"/>
  <c r="A126" i="1" l="1"/>
  <c r="B125" i="1"/>
  <c r="B126" i="1" l="1"/>
  <c r="A127" i="1"/>
  <c r="B127" i="1" l="1"/>
  <c r="A128" i="1"/>
  <c r="A129" i="1" l="1"/>
  <c r="B128" i="1"/>
  <c r="B129" i="1" l="1"/>
  <c r="A130" i="1"/>
  <c r="B130" i="1" l="1"/>
  <c r="A131" i="1"/>
  <c r="B131" i="1" l="1"/>
  <c r="A132" i="1"/>
  <c r="B132" i="1" l="1"/>
  <c r="A133" i="1"/>
  <c r="A134" i="1" l="1"/>
  <c r="B133" i="1"/>
  <c r="B134" i="1" l="1"/>
  <c r="A135" i="1"/>
  <c r="B135" i="1" l="1"/>
  <c r="A136" i="1"/>
  <c r="B136" i="1" l="1"/>
</calcChain>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<sst xmlns="http://schemas.openxmlformats.org/spreadsheetml/2006/main" count="871" uniqueCount="762">
  <si>
    <t>Energy</t>
  </si>
  <si>
    <t>Scattering XS</t>
  </si>
  <si>
    <t xml:space="preserve">0.1 49.7 0.12 44.3 0.15 38.1 0.17 34.9 0.2 31.1 0.25 26.4 0.3 23.0 0.35 20.5 0.4 18.6 0.45 17.0 0.5 15.7 0.6 13.6 0.7 11.9 0.8 10.5 0.9 9.25 1 8.29 1.2 7.22 1.5 6.32 1.7 6.02 2 5.94 2.5 6.81 3 8.77 3.5 13.3 3.8 15.8 4 14.9 4.5 11.3 5 9.06 6 8.44 7 9.21 8 10.3 9 11.3 10 12.2 12 14.2 15 15.8 17 16.4 20 17.0 25 17.8 30 18.0 35 17.6 40 17.0 45 16.4 50 15.8 60 14.8 70 13.5 80 13.5 90 13.1 100 12.6 120 11.8 150 10.6 170 10.0 200 9.24 250 8.20 300 7.39 250 6.73 300 7.39 350 6.73 400 6.08 450 5.62 500 5.23 600 4.63 700 4.16 800 3.78 900 3.47 1000 3.20 </t>
  </si>
  <si>
    <t>0.1</t>
  </si>
  <si>
    <t xml:space="preserve">49.7 </t>
  </si>
  <si>
    <t xml:space="preserve">0.12 </t>
  </si>
  <si>
    <t xml:space="preserve">44.3 </t>
  </si>
  <si>
    <t xml:space="preserve">0.15 </t>
  </si>
  <si>
    <t xml:space="preserve">38.1 </t>
  </si>
  <si>
    <t xml:space="preserve">0.17 </t>
  </si>
  <si>
    <t xml:space="preserve">34.9 </t>
  </si>
  <si>
    <t xml:space="preserve">0.2 </t>
  </si>
  <si>
    <t xml:space="preserve">31.1 </t>
  </si>
  <si>
    <t xml:space="preserve">0.25 </t>
  </si>
  <si>
    <t xml:space="preserve">26.4 </t>
  </si>
  <si>
    <t xml:space="preserve">0.3 </t>
  </si>
  <si>
    <t xml:space="preserve">23.0 </t>
  </si>
  <si>
    <t xml:space="preserve">0.35 </t>
  </si>
  <si>
    <t xml:space="preserve">20.5 </t>
  </si>
  <si>
    <t xml:space="preserve">0.4 </t>
  </si>
  <si>
    <t xml:space="preserve">18.6 </t>
  </si>
  <si>
    <t xml:space="preserve">0.45 </t>
  </si>
  <si>
    <t xml:space="preserve">17.0 </t>
  </si>
  <si>
    <t xml:space="preserve">0.5 </t>
  </si>
  <si>
    <t xml:space="preserve">15.7 </t>
  </si>
  <si>
    <t xml:space="preserve">0.6 </t>
  </si>
  <si>
    <t xml:space="preserve">13.6 </t>
  </si>
  <si>
    <t xml:space="preserve">0.7 </t>
  </si>
  <si>
    <t xml:space="preserve">11.9 </t>
  </si>
  <si>
    <t xml:space="preserve">0.8 </t>
  </si>
  <si>
    <t xml:space="preserve">10.5 </t>
  </si>
  <si>
    <t xml:space="preserve">0.9 </t>
  </si>
  <si>
    <t xml:space="preserve">9.25 </t>
  </si>
  <si>
    <t xml:space="preserve">1 </t>
  </si>
  <si>
    <t xml:space="preserve">8.29 </t>
  </si>
  <si>
    <t xml:space="preserve">1.2 </t>
  </si>
  <si>
    <t xml:space="preserve">7.22 </t>
  </si>
  <si>
    <t xml:space="preserve">1.5 </t>
  </si>
  <si>
    <t xml:space="preserve">6.32 </t>
  </si>
  <si>
    <t xml:space="preserve">1.7 </t>
  </si>
  <si>
    <t xml:space="preserve">6.02 </t>
  </si>
  <si>
    <t xml:space="preserve">2 </t>
  </si>
  <si>
    <t xml:space="preserve">5.94 </t>
  </si>
  <si>
    <t xml:space="preserve">2.5 </t>
  </si>
  <si>
    <t xml:space="preserve">6.81 </t>
  </si>
  <si>
    <t xml:space="preserve">3 </t>
  </si>
  <si>
    <t xml:space="preserve">8.77 </t>
  </si>
  <si>
    <t xml:space="preserve">3.5 </t>
  </si>
  <si>
    <t xml:space="preserve">13.3 </t>
  </si>
  <si>
    <t xml:space="preserve">3.8 </t>
  </si>
  <si>
    <t xml:space="preserve">15.8 </t>
  </si>
  <si>
    <t xml:space="preserve">4 </t>
  </si>
  <si>
    <t xml:space="preserve">14.9 </t>
  </si>
  <si>
    <t xml:space="preserve">4.5 </t>
  </si>
  <si>
    <t xml:space="preserve">11.3 </t>
  </si>
  <si>
    <t xml:space="preserve">5 </t>
  </si>
  <si>
    <t xml:space="preserve">9.06 </t>
  </si>
  <si>
    <t xml:space="preserve">6 </t>
  </si>
  <si>
    <t xml:space="preserve">8.44 </t>
  </si>
  <si>
    <t xml:space="preserve">7 </t>
  </si>
  <si>
    <t xml:space="preserve">9.21 </t>
  </si>
  <si>
    <t xml:space="preserve">8 </t>
  </si>
  <si>
    <t xml:space="preserve">10.3 </t>
  </si>
  <si>
    <t xml:space="preserve">9 </t>
  </si>
  <si>
    <t xml:space="preserve">10 </t>
  </si>
  <si>
    <t xml:space="preserve">12.2 </t>
  </si>
  <si>
    <t xml:space="preserve">12 </t>
  </si>
  <si>
    <t xml:space="preserve">14.2 </t>
  </si>
  <si>
    <t xml:space="preserve">15 </t>
  </si>
  <si>
    <t xml:space="preserve">17 </t>
  </si>
  <si>
    <t xml:space="preserve">16.4 </t>
  </si>
  <si>
    <t xml:space="preserve">20 </t>
  </si>
  <si>
    <t xml:space="preserve">25 </t>
  </si>
  <si>
    <t xml:space="preserve">17.8 </t>
  </si>
  <si>
    <t xml:space="preserve">30 </t>
  </si>
  <si>
    <t xml:space="preserve">18.0 </t>
  </si>
  <si>
    <t xml:space="preserve">35 </t>
  </si>
  <si>
    <t xml:space="preserve">17.6 </t>
  </si>
  <si>
    <t xml:space="preserve">40 </t>
  </si>
  <si>
    <t xml:space="preserve">45 </t>
  </si>
  <si>
    <t xml:space="preserve">50 </t>
  </si>
  <si>
    <t xml:space="preserve">60 </t>
  </si>
  <si>
    <t xml:space="preserve">14.8 </t>
  </si>
  <si>
    <t xml:space="preserve">70 </t>
  </si>
  <si>
    <t xml:space="preserve">13.5 </t>
  </si>
  <si>
    <t xml:space="preserve">80 </t>
  </si>
  <si>
    <t xml:space="preserve">90 </t>
  </si>
  <si>
    <t xml:space="preserve">13.1 </t>
  </si>
  <si>
    <t xml:space="preserve">100 </t>
  </si>
  <si>
    <t xml:space="preserve">12.6 </t>
  </si>
  <si>
    <t xml:space="preserve">120 </t>
  </si>
  <si>
    <t xml:space="preserve">11.8 </t>
  </si>
  <si>
    <t xml:space="preserve">150 </t>
  </si>
  <si>
    <t xml:space="preserve">10.6 </t>
  </si>
  <si>
    <t xml:space="preserve">170 </t>
  </si>
  <si>
    <t xml:space="preserve">10.0 </t>
  </si>
  <si>
    <t xml:space="preserve">200 </t>
  </si>
  <si>
    <t xml:space="preserve">9.24 </t>
  </si>
  <si>
    <t xml:space="preserve">250 </t>
  </si>
  <si>
    <t xml:space="preserve">8.20 </t>
  </si>
  <si>
    <t xml:space="preserve">300 </t>
  </si>
  <si>
    <t xml:space="preserve">7.39 </t>
  </si>
  <si>
    <t xml:space="preserve">6.73 </t>
  </si>
  <si>
    <t xml:space="preserve">350 </t>
  </si>
  <si>
    <t xml:space="preserve">400 </t>
  </si>
  <si>
    <t xml:space="preserve">6.08 </t>
  </si>
  <si>
    <t xml:space="preserve">450 </t>
  </si>
  <si>
    <t xml:space="preserve">5.62 </t>
  </si>
  <si>
    <t xml:space="preserve">500 </t>
  </si>
  <si>
    <t xml:space="preserve">5.23 </t>
  </si>
  <si>
    <t xml:space="preserve">600 </t>
  </si>
  <si>
    <t xml:space="preserve">4.63 </t>
  </si>
  <si>
    <t xml:space="preserve">700 </t>
  </si>
  <si>
    <t xml:space="preserve">4.16 </t>
  </si>
  <si>
    <t xml:space="preserve">800 </t>
  </si>
  <si>
    <t xml:space="preserve">3.78 </t>
  </si>
  <si>
    <t xml:space="preserve">900 </t>
  </si>
  <si>
    <t xml:space="preserve">3.47 </t>
  </si>
  <si>
    <t xml:space="preserve">1000 </t>
  </si>
  <si>
    <t xml:space="preserve">3.20 </t>
  </si>
  <si>
    <t>1.0 5.00</t>
  </si>
  <si>
    <t>1.5 4.73</t>
  </si>
  <si>
    <t>2.0 4.37</t>
  </si>
  <si>
    <t>2.5 4.70</t>
  </si>
  <si>
    <t>3.0 5.25</t>
  </si>
  <si>
    <t>3.5 6.40</t>
  </si>
  <si>
    <t>3.8 8.20</t>
  </si>
  <si>
    <t>4.0 8.15</t>
  </si>
  <si>
    <t>4.5 5.80</t>
  </si>
  <si>
    <t>5.0 6.00</t>
  </si>
  <si>
    <t>6.0 6.60</t>
  </si>
  <si>
    <t>7.0 7.25</t>
  </si>
  <si>
    <t>8.0 8.06</t>
  </si>
  <si>
    <t>10.0 9.95</t>
  </si>
  <si>
    <t>15 12.5</t>
  </si>
  <si>
    <t>20 13.4</t>
  </si>
  <si>
    <t>25 13.6</t>
  </si>
  <si>
    <t>30 13.4</t>
  </si>
  <si>
    <t>40 11.9</t>
  </si>
  <si>
    <t>50 10.5</t>
  </si>
  <si>
    <t>60 9.6</t>
  </si>
  <si>
    <t>100 7.55</t>
  </si>
  <si>
    <t>200 5.07</t>
  </si>
  <si>
    <t>300 4.01</t>
  </si>
  <si>
    <t>400 3.39</t>
  </si>
  <si>
    <t>500 2.98</t>
  </si>
  <si>
    <t>600 2.68</t>
  </si>
  <si>
    <t>700 2.45</t>
  </si>
  <si>
    <t>800 2.26</t>
  </si>
  <si>
    <t>900 2.11</t>
  </si>
  <si>
    <t>1000 1.99</t>
  </si>
  <si>
    <t>0.01 182</t>
  </si>
  <si>
    <t>0.015 148</t>
  </si>
  <si>
    <t>0.02 128</t>
  </si>
  <si>
    <t>0.03 104</t>
  </si>
  <si>
    <t>0.04 90.0</t>
  </si>
  <si>
    <t>0.05 80.6</t>
  </si>
  <si>
    <t>0.06 73.2</t>
  </si>
  <si>
    <t>0.07 66.8</t>
  </si>
  <si>
    <t>0.08 61.9</t>
  </si>
  <si>
    <t>0.09 56.8</t>
  </si>
  <si>
    <t>0.1 53.6</t>
  </si>
  <si>
    <t>0.12 46.4</t>
  </si>
  <si>
    <t>0.15 37.2</t>
  </si>
  <si>
    <t>0.18 30.1</t>
  </si>
  <si>
    <t>0.2 26.2</t>
  </si>
  <si>
    <t>0.25 19.8</t>
  </si>
  <si>
    <t>0.3 15.05</t>
  </si>
  <si>
    <t>0.4 10.48</t>
  </si>
  <si>
    <t>0.5 8.09</t>
  </si>
  <si>
    <t>0.6 6.77</t>
  </si>
  <si>
    <t>0.7 5.69</t>
  </si>
  <si>
    <t>0.8 5.18</t>
  </si>
  <si>
    <t>0.9 4.69</t>
  </si>
  <si>
    <t>1 4.25</t>
  </si>
  <si>
    <t>1.2 3.59</t>
  </si>
  <si>
    <t>1.5 3.24</t>
  </si>
  <si>
    <t>1.8 3.24</t>
  </si>
  <si>
    <t>2 3.39</t>
  </si>
  <si>
    <t>2.5 3.91</t>
  </si>
  <si>
    <t>3 4.67</t>
  </si>
  <si>
    <t>3.5 5.64</t>
  </si>
  <si>
    <t>4 5.79</t>
  </si>
  <si>
    <t>4.5 5.02</t>
  </si>
  <si>
    <t>5 4.58</t>
  </si>
  <si>
    <t>6 4.91</t>
  </si>
  <si>
    <t>7 6.08</t>
  </si>
  <si>
    <t>8 7.40</t>
  </si>
  <si>
    <t>9 8.09</t>
  </si>
  <si>
    <t>10 9.02</t>
  </si>
  <si>
    <t>12 10.00</t>
  </si>
  <si>
    <t>15 10.86</t>
  </si>
  <si>
    <t>18 10.76</t>
  </si>
  <si>
    <t>20 10.17</t>
  </si>
  <si>
    <t>25 8.74</t>
  </si>
  <si>
    <t>30 7.51</t>
  </si>
  <si>
    <t>40 5.84</t>
  </si>
  <si>
    <t>50 4.79</t>
  </si>
  <si>
    <t>60 4.15</t>
  </si>
  <si>
    <t>70 3.61</t>
  </si>
  <si>
    <t>80 3.19</t>
  </si>
  <si>
    <t>90 2.83</t>
  </si>
  <si>
    <t>100 2.53</t>
  </si>
  <si>
    <t>30 0.0210 0.153 0.0815</t>
  </si>
  <si>
    <t>15 0.0221 0.120 0.141</t>
  </si>
  <si>
    <t>6 0.0840 0.576 0.262</t>
  </si>
  <si>
    <t>5 0.181 0.938 0.300</t>
  </si>
  <si>
    <t>4.5 0.526 1.42 0.356</t>
  </si>
  <si>
    <t>4 1.07 1.97 0.433</t>
  </si>
  <si>
    <t>3.8 1.29 1.96 0.443</t>
  </si>
  <si>
    <t>3.5 1.25 1.51 0.456</t>
  </si>
  <si>
    <t>3 0.878 0.734 0.417</t>
  </si>
  <si>
    <t>2 0.420 0.350 0.464</t>
  </si>
  <si>
    <t>1.5 0.277 0.378 0.639</t>
  </si>
  <si>
    <t>14.5 0.055 0.055</t>
  </si>
  <si>
    <t>15 0.097 0.097</t>
  </si>
  <si>
    <t>15.5 0.135 0.135</t>
  </si>
  <si>
    <t>16 0.174 0.174</t>
  </si>
  <si>
    <t>16.5 0.215 0.215</t>
  </si>
  <si>
    <t>17 0.255 0.255</t>
  </si>
  <si>
    <t>17.5 0.293 0.293</t>
  </si>
  <si>
    <t>18 0.333 0.333</t>
  </si>
  <si>
    <t>18.5 0.373 0.373</t>
  </si>
  <si>
    <t>19 0.428 0.428</t>
  </si>
  <si>
    <t>19.5 0.452 0.452</t>
  </si>
  <si>
    <t>21 0.577 0.577</t>
  </si>
  <si>
    <t>21.5 0.623 0.623</t>
  </si>
  <si>
    <t>22 0.676 0.676</t>
  </si>
  <si>
    <t>22.5 0.727 0.727</t>
  </si>
  <si>
    <t>23 0.777 0.777</t>
  </si>
  <si>
    <t>23.5 0.828 0.828</t>
  </si>
  <si>
    <t>24 0.880 0.880</t>
  </si>
  <si>
    <t>25 0.969 1.04</t>
  </si>
  <si>
    <t>30 1.34 1.58</t>
  </si>
  <si>
    <t>35 1.53 1.95</t>
  </si>
  <si>
    <t>40 1.70 2.25</t>
  </si>
  <si>
    <t>45 1.84 2.50</t>
  </si>
  <si>
    <t>50 1.94 2.71</t>
  </si>
  <si>
    <t>55 2.00 2.88</t>
  </si>
  <si>
    <t>60 2.06 3.06</t>
  </si>
  <si>
    <t>65 2.10 3.18</t>
  </si>
  <si>
    <t>70 2.13 3.27</t>
  </si>
  <si>
    <t>75 2.15 3.36</t>
  </si>
  <si>
    <t>80 2.19 3.45</t>
  </si>
  <si>
    <t>85 2.20 3.51</t>
  </si>
  <si>
    <t>90 2.22 3.56</t>
  </si>
  <si>
    <t>95 2.23 3.60</t>
  </si>
  <si>
    <t>100 2.25 3.64</t>
  </si>
  <si>
    <t>110 2.23 3.66</t>
  </si>
  <si>
    <t>120 2.23 3.66</t>
  </si>
  <si>
    <t>140 2.19 3.63</t>
  </si>
  <si>
    <t>160 2.12 3.52</t>
  </si>
  <si>
    <t>180 2.08 3.43</t>
  </si>
  <si>
    <t>200 2.01 3.32</t>
  </si>
  <si>
    <t>225 1.95 3.21</t>
  </si>
  <si>
    <t>250 1.87 3.05</t>
  </si>
  <si>
    <t>275 1.83 2.97</t>
  </si>
  <si>
    <t>300 1.75 2.82</t>
  </si>
  <si>
    <t>350 1.62 2.58</t>
  </si>
  <si>
    <t>400 1.54 2.43</t>
  </si>
  <si>
    <t>450 1.43 2.23</t>
  </si>
  <si>
    <t>500 1.35 2.09</t>
  </si>
  <si>
    <t>550 1.27 1.96</t>
  </si>
  <si>
    <t>600 1.21 1.85</t>
  </si>
  <si>
    <t>650 1.16 1.76</t>
  </si>
  <si>
    <t>700 1.10 1.68</t>
  </si>
  <si>
    <t>750 1.06 1.61</t>
  </si>
  <si>
    <t>800 1.01 1.53</t>
  </si>
  <si>
    <t>850 0.964 1.45</t>
  </si>
  <si>
    <t>900 0.941 1.41</t>
  </si>
  <si>
    <t>950 0.909 1.36</t>
  </si>
  <si>
    <t>1000 0.876 1.30</t>
  </si>
  <si>
    <t>11.048 0 – – –</t>
  </si>
  <si>
    <t>12 0.877 – – –</t>
  </si>
  <si>
    <t>13 1.484 – – –</t>
  </si>
  <si>
    <t>14 2.081 – – –</t>
  </si>
  <si>
    <t>15 2.673 – – –</t>
  </si>
  <si>
    <t>16 3.254 – – –</t>
  </si>
  <si>
    <t>17 3.818 – – –</t>
  </si>
  <si>
    <t>18 4.362 – – –</t>
  </si>
  <si>
    <t>19 4.883 – – –</t>
  </si>
  <si>
    <t>20 5.379 – 3.175 (1.270) –</t>
  </si>
  <si>
    <t>25 7.483 – – –</t>
  </si>
  <si>
    <t>30 9.026 12.352 (4.570) 9.490 (3.796) –</t>
  </si>
  <si>
    <t>40 10.926 – – –</t>
  </si>
  <si>
    <t>50 11.863 – – –</t>
  </si>
  <si>
    <t>60 12.275 16.398 (6.067) – –</t>
  </si>
  <si>
    <t>70 12.393 – – –</t>
  </si>
  <si>
    <t>80 12.342 – – –</t>
  </si>
  <si>
    <t>90 12.193 – – –</t>
  </si>
  <si>
    <t>100 11.977 14.058 (4.920) – –</t>
  </si>
  <si>
    <t>200 9.555 8.177 (2.862) – –</t>
  </si>
  <si>
    <t>300 7.824 – – 6.221 (1.866)</t>
  </si>
  <si>
    <t>400 6.647 – – –</t>
  </si>
  <si>
    <t>500 5.800 – – 5.097 (1.529)</t>
  </si>
  <si>
    <t>600 5.161 – – –</t>
  </si>
  <si>
    <t>700 4.660 – – –</t>
  </si>
  <si>
    <t>800 4.256 – – –</t>
  </si>
  <si>
    <t>1000 3.643 – – –</t>
  </si>
  <si>
    <t>2000 2.186 – – –</t>
  </si>
  <si>
    <t>3000 1.598 – – –</t>
  </si>
  <si>
    <t>4000 1.273 – – –</t>
  </si>
  <si>
    <t>5000 1.064 – – –</t>
  </si>
  <si>
    <t>11.048</t>
  </si>
  <si>
    <t>0</t>
  </si>
  <si>
    <t>12</t>
  </si>
  <si>
    <t>0.877</t>
  </si>
  <si>
    <t>13</t>
  </si>
  <si>
    <t>1.484</t>
  </si>
  <si>
    <t>14</t>
  </si>
  <si>
    <t>2.081</t>
  </si>
  <si>
    <t>15</t>
  </si>
  <si>
    <t>2.673</t>
  </si>
  <si>
    <t>16</t>
  </si>
  <si>
    <t>3.254</t>
  </si>
  <si>
    <t>17</t>
  </si>
  <si>
    <t>3.818</t>
  </si>
  <si>
    <t>18</t>
  </si>
  <si>
    <t>4.362</t>
  </si>
  <si>
    <t>19</t>
  </si>
  <si>
    <t>4.883</t>
  </si>
  <si>
    <t>20</t>
  </si>
  <si>
    <t>5.379</t>
  </si>
  <si>
    <t>25</t>
  </si>
  <si>
    <t>7.483</t>
  </si>
  <si>
    <t>30</t>
  </si>
  <si>
    <t>9.026</t>
  </si>
  <si>
    <t>40</t>
  </si>
  <si>
    <t>10.926</t>
  </si>
  <si>
    <t>50</t>
  </si>
  <si>
    <t>11.863</t>
  </si>
  <si>
    <t>60</t>
  </si>
  <si>
    <t>12.275</t>
  </si>
  <si>
    <t>70</t>
  </si>
  <si>
    <t>12.393</t>
  </si>
  <si>
    <t>80</t>
  </si>
  <si>
    <t>12.342</t>
  </si>
  <si>
    <t>90</t>
  </si>
  <si>
    <t>12.193</t>
  </si>
  <si>
    <t>100</t>
  </si>
  <si>
    <t>11.977</t>
  </si>
  <si>
    <t>200</t>
  </si>
  <si>
    <t>9.555</t>
  </si>
  <si>
    <t>300</t>
  </si>
  <si>
    <t>7.824</t>
  </si>
  <si>
    <t>400</t>
  </si>
  <si>
    <t>6.647</t>
  </si>
  <si>
    <t>500</t>
  </si>
  <si>
    <t>5.800</t>
  </si>
  <si>
    <t>600</t>
  </si>
  <si>
    <t>5.161</t>
  </si>
  <si>
    <t>700</t>
  </si>
  <si>
    <t>4.660</t>
  </si>
  <si>
    <t>800</t>
  </si>
  <si>
    <t>4.256</t>
  </si>
  <si>
    <t>1000</t>
  </si>
  <si>
    <t>3.643</t>
  </si>
  <si>
    <t>2000</t>
  </si>
  <si>
    <t>2.186</t>
  </si>
  <si>
    <t>3000</t>
  </si>
  <si>
    <t>1.598</t>
  </si>
  <si>
    <t>4000</t>
  </si>
  <si>
    <t>1.273</t>
  </si>
  <si>
    <t>5000</t>
  </si>
  <si>
    <t>1.064</t>
  </si>
  <si>
    <t>11.385 0 – – –</t>
  </si>
  <si>
    <t>12 0.580 – – –</t>
  </si>
  <si>
    <t>13 0.939 – – –</t>
  </si>
  <si>
    <t>14 1.204 – – –</t>
  </si>
  <si>
    <t>15 1.432 – – –</t>
  </si>
  <si>
    <t>16 1.640 – – –</t>
  </si>
  <si>
    <t>17 1.834 – – –</t>
  </si>
  <si>
    <t>18 2.014 – – –</t>
  </si>
  <si>
    <t>19 2.184 – – –</t>
  </si>
  <si>
    <t>20 2.344 – 1.043 (0.417) –</t>
  </si>
  <si>
    <t>25 3.007 – – –</t>
  </si>
  <si>
    <t>30 3.483 3.892 (1.440) 3.345 (1.338) –</t>
  </si>
  <si>
    <t>40 4.056 – – –</t>
  </si>
  <si>
    <t>50 4.324 – – –</t>
  </si>
  <si>
    <t>60 4.428 5.696 (2.107) – –</t>
  </si>
  <si>
    <t>70 4.440 – – –</t>
  </si>
  <si>
    <t>80 4.401 – – –</t>
  </si>
  <si>
    <t>90 4.333 – – –</t>
  </si>
  <si>
    <t>100 4.245 4.982 (1.744) – –</t>
  </si>
  <si>
    <t>200 3.349 3.493 (1.223) – –</t>
  </si>
  <si>
    <t>300 2.732 – – 2.608 (0.522)</t>
  </si>
  <si>
    <t>400 2.317 – – –</t>
  </si>
  <si>
    <t>500 2.019 – – 1.883 (0.377)</t>
  </si>
  <si>
    <t>600 1.795 – – –</t>
  </si>
  <si>
    <t>700 1.619 – – –</t>
  </si>
  <si>
    <t>800 1.478 – – –</t>
  </si>
  <si>
    <t>1000 1.264 – – –</t>
  </si>
  <si>
    <t>2000 0.757 – – –</t>
  </si>
  <si>
    <t>3000 0.553 – – –</t>
  </si>
  <si>
    <t>4000 0.440 – – –</t>
  </si>
  <si>
    <t>5000 0.368 – – –</t>
  </si>
  <si>
    <t>11.385</t>
  </si>
  <si>
    <t>0.580</t>
  </si>
  <si>
    <t>0.939</t>
  </si>
  <si>
    <t>1.204</t>
  </si>
  <si>
    <t>1.432</t>
  </si>
  <si>
    <t>1.640</t>
  </si>
  <si>
    <t>1.834</t>
  </si>
  <si>
    <t>2.014</t>
  </si>
  <si>
    <t>2.184</t>
  </si>
  <si>
    <t>2.344</t>
  </si>
  <si>
    <t>3.007</t>
  </si>
  <si>
    <t>3.483</t>
  </si>
  <si>
    <t>4.056</t>
  </si>
  <si>
    <t>4.324</t>
  </si>
  <si>
    <t>4.428</t>
  </si>
  <si>
    <t>4.440</t>
  </si>
  <si>
    <t>4.401</t>
  </si>
  <si>
    <t>4.333</t>
  </si>
  <si>
    <t>4.245</t>
  </si>
  <si>
    <t>3.349</t>
  </si>
  <si>
    <t>2.732</t>
  </si>
  <si>
    <t>2.317</t>
  </si>
  <si>
    <t>2.019</t>
  </si>
  <si>
    <t>1.795</t>
  </si>
  <si>
    <t>1.619</t>
  </si>
  <si>
    <t>1.478</t>
  </si>
  <si>
    <t>1.264</t>
  </si>
  <si>
    <t>0.757</t>
  </si>
  <si>
    <t>0.553</t>
  </si>
  <si>
    <t>0.440</t>
  </si>
  <si>
    <t>0.368</t>
  </si>
  <si>
    <t>25 0.0279 0.0419</t>
  </si>
  <si>
    <t>30 0.139 0.0024 0.0986</t>
  </si>
  <si>
    <t>35 0.247 0.0280 0.150</t>
  </si>
  <si>
    <t>40 0.281 0.0782 0.195</t>
  </si>
  <si>
    <t>45 0.299 0.121 0.245</t>
  </si>
  <si>
    <t>50 0.319 0.149 0.299</t>
  </si>
  <si>
    <t>55 0.339 0.178 0.352</t>
  </si>
  <si>
    <t>60 0.362 0.208 0.407</t>
  </si>
  <si>
    <t>65 0.369 0.229 0.452</t>
  </si>
  <si>
    <t>70 0.379 0.246 0.485</t>
  </si>
  <si>
    <t>75 0.380 0.261 0.526</t>
  </si>
  <si>
    <t>80 0.386 0.278 0.556 0.0179</t>
  </si>
  <si>
    <t>85 0.389 0.285 0.584 0.0215</t>
  </si>
  <si>
    <t>90 0.390 0.296 0.606 0.0311</t>
  </si>
  <si>
    <t>95 0.390 0.306 0.622 0.0506 0.0169</t>
  </si>
  <si>
    <t>100 0.389 0.310 0.640 0.0520 0.0197</t>
  </si>
  <si>
    <t>110 0.386 0.322 0.663 0.0751 0.0324</t>
  </si>
  <si>
    <t>120 0.378 0.323 0.671 0.108 0.0721</t>
  </si>
  <si>
    <t>140 0.365 0.331 0.680 0.157 0.133</t>
  </si>
  <si>
    <t>160 0.340 0.321 0.670 0.186 0.159</t>
  </si>
  <si>
    <t>180 0.333 0.309 0.647 0.249 0.217</t>
  </si>
  <si>
    <t>200 0.314 0.301 0.631 0.279 0.233</t>
  </si>
  <si>
    <t>225 0.300 0.288 0.606 0.256 0.271</t>
  </si>
  <si>
    <t>250 0.278 0.273 0.572 0.291 0.286</t>
  </si>
  <si>
    <t>275 0.269 0.260 0.553 0.247 0.304</t>
  </si>
  <si>
    <t>300 0.250 0.245 0.524 0.252 0.276</t>
  </si>
  <si>
    <t>350 0.226 0.215 0.470 0.216 0.249</t>
  </si>
  <si>
    <t>400 0.211 0.202 0.433 0.224 0.215</t>
  </si>
  <si>
    <t>450 0.193 0.183 0.388 0.198 0.193</t>
  </si>
  <si>
    <t>500 0.178 0.169 0.361 0.177 0.192</t>
  </si>
  <si>
    <t>550 0.165 0.154 0.339 0.184 0.168</t>
  </si>
  <si>
    <t>600 0.154 0.145 0.311 0.145 0.156</t>
  </si>
  <si>
    <t>650 0.145 0.136 0.299 0.169 0.142</t>
  </si>
  <si>
    <t>700 0.139 0.127 0.283 0.147 0.176</t>
  </si>
  <si>
    <t>750 0.132 0.123 0.268 0.157 0.147</t>
  </si>
  <si>
    <t>800 0.124 0.116 0.252 0.139 0.127</t>
  </si>
  <si>
    <t>850 0.119 0.108 0.238 0.129 0.127</t>
  </si>
  <si>
    <t>900 0.113 0.105 0.229 0.0965 0.100</t>
  </si>
  <si>
    <t>950 0.110 0.101 0.222 0.0897 0.116</t>
  </si>
  <si>
    <t>1000 0.103 0.0964 0.209 0.0984 0.103</t>
  </si>
  <si>
    <t>0.0279</t>
  </si>
  <si>
    <t>0.139</t>
  </si>
  <si>
    <t>0.0024</t>
  </si>
  <si>
    <t>35</t>
  </si>
  <si>
    <t>0.247</t>
  </si>
  <si>
    <t>0.0280</t>
  </si>
  <si>
    <t>0.281</t>
  </si>
  <si>
    <t>0.0782</t>
  </si>
  <si>
    <t>45</t>
  </si>
  <si>
    <t>0.299</t>
  </si>
  <si>
    <t>0.121</t>
  </si>
  <si>
    <t>0.319</t>
  </si>
  <si>
    <t>0.149</t>
  </si>
  <si>
    <t>55</t>
  </si>
  <si>
    <t>0.339</t>
  </si>
  <si>
    <t>0.178</t>
  </si>
  <si>
    <t>0.362</t>
  </si>
  <si>
    <t>0.208</t>
  </si>
  <si>
    <t>65</t>
  </si>
  <si>
    <t>0.369</t>
  </si>
  <si>
    <t>0.229</t>
  </si>
  <si>
    <t>0.379</t>
  </si>
  <si>
    <t>0.246</t>
  </si>
  <si>
    <t>75</t>
  </si>
  <si>
    <t>0.380</t>
  </si>
  <si>
    <t>0.261</t>
  </si>
  <si>
    <t>0.386</t>
  </si>
  <si>
    <t>0.278</t>
  </si>
  <si>
    <t>0.556</t>
  </si>
  <si>
    <t>85</t>
  </si>
  <si>
    <t>0.389</t>
  </si>
  <si>
    <t>0.285</t>
  </si>
  <si>
    <t>0.584</t>
  </si>
  <si>
    <t>0.390</t>
  </si>
  <si>
    <t>0.296</t>
  </si>
  <si>
    <t>0.606</t>
  </si>
  <si>
    <t>95</t>
  </si>
  <si>
    <t>0.306</t>
  </si>
  <si>
    <t>0.622</t>
  </si>
  <si>
    <t>0.0506</t>
  </si>
  <si>
    <t>0.0169</t>
  </si>
  <si>
    <t>0.310</t>
  </si>
  <si>
    <t>0.640</t>
  </si>
  <si>
    <t>0.0520</t>
  </si>
  <si>
    <t>0.0197</t>
  </si>
  <si>
    <t>110</t>
  </si>
  <si>
    <t>0.322</t>
  </si>
  <si>
    <t>0.663</t>
  </si>
  <si>
    <t>0.0751</t>
  </si>
  <si>
    <t>0.0324</t>
  </si>
  <si>
    <t>120</t>
  </si>
  <si>
    <t>0.378</t>
  </si>
  <si>
    <t>0.323</t>
  </si>
  <si>
    <t>0.671</t>
  </si>
  <si>
    <t>0.108</t>
  </si>
  <si>
    <t>0.0721</t>
  </si>
  <si>
    <t>140</t>
  </si>
  <si>
    <t>0.365</t>
  </si>
  <si>
    <t>0.331</t>
  </si>
  <si>
    <t>0.680</t>
  </si>
  <si>
    <t>0.157</t>
  </si>
  <si>
    <t>0.133</t>
  </si>
  <si>
    <t>160</t>
  </si>
  <si>
    <t>0.340</t>
  </si>
  <si>
    <t>0.321</t>
  </si>
  <si>
    <t>0.670</t>
  </si>
  <si>
    <t>0.186</t>
  </si>
  <si>
    <t>0.159</t>
  </si>
  <si>
    <t>180</t>
  </si>
  <si>
    <t>0.333</t>
  </si>
  <si>
    <t>0.309</t>
  </si>
  <si>
    <t>0.647</t>
  </si>
  <si>
    <t>0.249</t>
  </si>
  <si>
    <t>0.217</t>
  </si>
  <si>
    <t>0.314</t>
  </si>
  <si>
    <t>0.301</t>
  </si>
  <si>
    <t>0.631</t>
  </si>
  <si>
    <t>0.279</t>
  </si>
  <si>
    <t>0.233</t>
  </si>
  <si>
    <t>225</t>
  </si>
  <si>
    <t>0.300</t>
  </si>
  <si>
    <t>0.288</t>
  </si>
  <si>
    <t>0.256</t>
  </si>
  <si>
    <t>0.271</t>
  </si>
  <si>
    <t>250</t>
  </si>
  <si>
    <t>0.273</t>
  </si>
  <si>
    <t>0.572</t>
  </si>
  <si>
    <t>0.291</t>
  </si>
  <si>
    <t>0.286</t>
  </si>
  <si>
    <t>275</t>
  </si>
  <si>
    <t>0.269</t>
  </si>
  <si>
    <t>0.260</t>
  </si>
  <si>
    <t>0.304</t>
  </si>
  <si>
    <t>0.250</t>
  </si>
  <si>
    <t>0.245</t>
  </si>
  <si>
    <t>0.524</t>
  </si>
  <si>
    <t>0.252</t>
  </si>
  <si>
    <t>0.276</t>
  </si>
  <si>
    <t>350</t>
  </si>
  <si>
    <t>0.226</t>
  </si>
  <si>
    <t>0.215</t>
  </si>
  <si>
    <t>0.470</t>
  </si>
  <si>
    <t>0.216</t>
  </si>
  <si>
    <t>0.211</t>
  </si>
  <si>
    <t>0.202</t>
  </si>
  <si>
    <t>0.433</t>
  </si>
  <si>
    <t>0.224</t>
  </si>
  <si>
    <t>450</t>
  </si>
  <si>
    <t>0.193</t>
  </si>
  <si>
    <t>0.183</t>
  </si>
  <si>
    <t>0.388</t>
  </si>
  <si>
    <t>0.198</t>
  </si>
  <si>
    <t>0.169</t>
  </si>
  <si>
    <t>0.361</t>
  </si>
  <si>
    <t>0.177</t>
  </si>
  <si>
    <t>0.192</t>
  </si>
  <si>
    <t>550</t>
  </si>
  <si>
    <t>0.165</t>
  </si>
  <si>
    <t>0.154</t>
  </si>
  <si>
    <t>0.184</t>
  </si>
  <si>
    <t>0.168</t>
  </si>
  <si>
    <t>0.145</t>
  </si>
  <si>
    <t>0.311</t>
  </si>
  <si>
    <t>0.156</t>
  </si>
  <si>
    <t>650</t>
  </si>
  <si>
    <t>0.136</t>
  </si>
  <si>
    <t>0.142</t>
  </si>
  <si>
    <t>0.127</t>
  </si>
  <si>
    <t>0.283</t>
  </si>
  <si>
    <t>0.147</t>
  </si>
  <si>
    <t>0.176</t>
  </si>
  <si>
    <t>750</t>
  </si>
  <si>
    <t>0.132</t>
  </si>
  <si>
    <t>0.123</t>
  </si>
  <si>
    <t>0.268</t>
  </si>
  <si>
    <t>0.124</t>
  </si>
  <si>
    <t>0.116</t>
  </si>
  <si>
    <t>850</t>
  </si>
  <si>
    <t>0.119</t>
  </si>
  <si>
    <t>0.238</t>
  </si>
  <si>
    <t>0.129</t>
  </si>
  <si>
    <t>900</t>
  </si>
  <si>
    <t>0.113</t>
  </si>
  <si>
    <t>0.105</t>
  </si>
  <si>
    <t>0.0965</t>
  </si>
  <si>
    <t>0.100</t>
  </si>
  <si>
    <t>950</t>
  </si>
  <si>
    <t>0.110</t>
  </si>
  <si>
    <t>0.101</t>
  </si>
  <si>
    <t>0.222</t>
  </si>
  <si>
    <t>0.0897</t>
  </si>
  <si>
    <t>0.103</t>
  </si>
  <si>
    <t>0.0964</t>
  </si>
  <si>
    <t>0.209</t>
  </si>
  <si>
    <t>0.0984</t>
  </si>
  <si>
    <t>0.0179</t>
  </si>
  <si>
    <t>0.0215</t>
  </si>
  <si>
    <t>0.0311</t>
  </si>
  <si>
    <t>0.0986</t>
  </si>
  <si>
    <t>0.150</t>
  </si>
  <si>
    <t>0.195</t>
  </si>
  <si>
    <t>0.352</t>
  </si>
  <si>
    <t>0.407</t>
  </si>
  <si>
    <t>0.452</t>
  </si>
  <si>
    <t>0.485</t>
  </si>
  <si>
    <t>0.526</t>
  </si>
  <si>
    <t>0.0419</t>
  </si>
  <si>
    <t>45 0.166</t>
  </si>
  <si>
    <t>50 0.393</t>
  </si>
  <si>
    <t>55 0.686</t>
  </si>
  <si>
    <t>60 1.06</t>
  </si>
  <si>
    <t>65 1.26</t>
  </si>
  <si>
    <t>70 1.59</t>
  </si>
  <si>
    <t>75 1.72</t>
  </si>
  <si>
    <t>80 2.06</t>
  </si>
  <si>
    <t>85 2.19</t>
  </si>
  <si>
    <t>90 2.27</t>
  </si>
  <si>
    <t>95 2.46</t>
  </si>
  <si>
    <t>100 2.65</t>
  </si>
  <si>
    <t>110 2.85</t>
  </si>
  <si>
    <t>120 2.90</t>
  </si>
  <si>
    <t>140 2.94</t>
  </si>
  <si>
    <t>160 2.90</t>
  </si>
  <si>
    <t>180 2.85</t>
  </si>
  <si>
    <t>200 2.72</t>
  </si>
  <si>
    <t>225 2.57</t>
  </si>
  <si>
    <t>250 2.32</t>
  </si>
  <si>
    <t>275 2.31</t>
  </si>
  <si>
    <t>300 2.03</t>
  </si>
  <si>
    <t>350 1.83</t>
  </si>
  <si>
    <t>400 1.75</t>
  </si>
  <si>
    <t>450 1.65</t>
  </si>
  <si>
    <t>500 1.41</t>
  </si>
  <si>
    <t>550 1.28</t>
  </si>
  <si>
    <t>600 1.25</t>
  </si>
  <si>
    <t>650 1.13</t>
  </si>
  <si>
    <t>700 1.06</t>
  </si>
  <si>
    <t>750 0.986</t>
  </si>
  <si>
    <t>800 0.961</t>
  </si>
  <si>
    <t>850 0.883</t>
  </si>
  <si>
    <t>900 0.823</t>
  </si>
  <si>
    <t>950 0.741</t>
  </si>
  <si>
    <t>1000 0.723</t>
  </si>
  <si>
    <t>1 16.08 22.38 15.66 12.66</t>
  </si>
  <si>
    <t>2 25.47 27.62 19.29 12.50</t>
  </si>
  <si>
    <t>3 23.37 26.62 20.12 14.44</t>
  </si>
  <si>
    <t>4 16.57 19.94 17.52 11.43</t>
  </si>
  <si>
    <t>5 14.60 17.53 14.44 10.51</t>
  </si>
  <si>
    <t>6 13.51 19.40 12.90 9.32</t>
  </si>
  <si>
    <t>8 12.79 12.85 10.64 7.70</t>
  </si>
  <si>
    <t>10 12.50 10.12 8.76 6.30</t>
  </si>
  <si>
    <t>12 11.26 8.55 7.39 5.47</t>
  </si>
  <si>
    <t>15 9.61 8.18 5.77 4.52</t>
  </si>
  <si>
    <t>20 6.18 4.46 3.26</t>
  </si>
  <si>
    <t>25 4.18 3.22 2.38</t>
  </si>
  <si>
    <t>30 3.14 2.52 1.76</t>
  </si>
  <si>
    <t>35 2.87 1.77 1.32</t>
  </si>
  <si>
    <t>40 2.65 1.32 1.04</t>
  </si>
  <si>
    <t>50 0.81 0.687</t>
  </si>
  <si>
    <t>65 0.56 0.401</t>
  </si>
  <si>
    <t>80 0.49 0.277</t>
  </si>
  <si>
    <t>100 0.188</t>
  </si>
  <si>
    <t>120 0.137</t>
  </si>
  <si>
    <t>140 0.131</t>
  </si>
  <si>
    <t>160 0.129</t>
  </si>
  <si>
    <t>180 0.123</t>
  </si>
  <si>
    <t>1</t>
  </si>
  <si>
    <t>2</t>
  </si>
  <si>
    <t>3</t>
  </si>
  <si>
    <t>4</t>
  </si>
  <si>
    <t>5</t>
  </si>
  <si>
    <t>6</t>
  </si>
  <si>
    <t>8</t>
  </si>
  <si>
    <t>10</t>
  </si>
  <si>
    <t>12.66</t>
  </si>
  <si>
    <t>12.50</t>
  </si>
  <si>
    <t>14.44</t>
  </si>
  <si>
    <t>11.43</t>
  </si>
  <si>
    <t>10.51</t>
  </si>
  <si>
    <t>9.32</t>
  </si>
  <si>
    <t>7.70</t>
  </si>
  <si>
    <t>6.30</t>
  </si>
  <si>
    <t>5.47</t>
  </si>
  <si>
    <t>4.52</t>
  </si>
  <si>
    <t>3.26</t>
  </si>
  <si>
    <t>2.38</t>
  </si>
  <si>
    <t>1.76</t>
  </si>
  <si>
    <t>1.32</t>
  </si>
  <si>
    <t>1.04</t>
  </si>
  <si>
    <t>0.687</t>
  </si>
  <si>
    <t>0.401</t>
  </si>
  <si>
    <t>0.277</t>
  </si>
  <si>
    <t>0.188</t>
  </si>
  <si>
    <t>0.137</t>
  </si>
  <si>
    <t>0.131</t>
  </si>
  <si>
    <t>16.08</t>
  </si>
  <si>
    <t>22.38</t>
  </si>
  <si>
    <t>15.66</t>
  </si>
  <si>
    <t>25.47</t>
  </si>
  <si>
    <t>27.62</t>
  </si>
  <si>
    <t>19.29</t>
  </si>
  <si>
    <t>23.37</t>
  </si>
  <si>
    <t>26.62</t>
  </si>
  <si>
    <t>20.12</t>
  </si>
  <si>
    <t>16.57</t>
  </si>
  <si>
    <t>19.94</t>
  </si>
  <si>
    <t>17.52</t>
  </si>
  <si>
    <t>14.60</t>
  </si>
  <si>
    <t>17.53</t>
  </si>
  <si>
    <t>13.51</t>
  </si>
  <si>
    <t>19.40</t>
  </si>
  <si>
    <t>12.90</t>
  </si>
  <si>
    <t>12.79</t>
  </si>
  <si>
    <t>12.85</t>
  </si>
  <si>
    <t>10.64</t>
  </si>
  <si>
    <t>10.12</t>
  </si>
  <si>
    <t>8.76</t>
  </si>
  <si>
    <t>11.26</t>
  </si>
  <si>
    <t>8.55</t>
  </si>
  <si>
    <t>7.39</t>
  </si>
  <si>
    <t>9.61</t>
  </si>
  <si>
    <t>8.18</t>
  </si>
  <si>
    <t>5.77</t>
  </si>
  <si>
    <t>6.18</t>
  </si>
  <si>
    <t>4.46</t>
  </si>
  <si>
    <t>4.18</t>
  </si>
  <si>
    <t>3.22</t>
  </si>
  <si>
    <t>3.14</t>
  </si>
  <si>
    <t>2.52</t>
  </si>
  <si>
    <t>2.87</t>
  </si>
  <si>
    <t>1.77</t>
  </si>
  <si>
    <t>2.65</t>
  </si>
  <si>
    <t>0.81</t>
  </si>
  <si>
    <t>0.56</t>
  </si>
  <si>
    <t>0.49</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</si>
</sst>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5" Type="http://schemas.openxmlformats.org/officeDocument/2006/relationships/calcChain" Target="calcChain.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F66676D-15C3-477E-BBE3-E1BBFF2EE536}">
  <dimension ref="A1:B136"/>
  <sheetViews>
    <sheetView workbookViewId="0">
      <selection activeCell="B136" sqref="B9:B136"/>
    </sheetView>
  </sheetViews>
  <sheetFormatPr defaultRowHeight="14.5" x14ac:dyDescent="0.35"/>
  <sheetData>
    <row r="1" spans="1:2" x14ac:dyDescent="0.35">
      <c r="A1" t="s">
        <v>0</v>
      </c>
      <c r="B1" t="s">
        <v>1</v>
      </c>
    </row>
    <row r="2" spans="1:2" x14ac:dyDescent="0.35">
      <c r="A2">
        <v>0.1</v>
      </c>
    </row>
    <row r="3" spans="1:2" x14ac:dyDescent="0.35">
      <c r="A3">
        <v>0.12</v>
      </c>
    </row>
    <row r="4" spans="1:2" x14ac:dyDescent="0.35">
      <c r="A4">
        <v>0.15</v>
      </c>
    </row>
    <row r="8" spans="1:2" x14ac:dyDescent="0.35">
      <c r="A8" t="s">
        <v>2</v>
      </c>
    </row>
    <row r="9" spans="1:2" x14ac:dyDescent="0.35">
      <c r="A9">
        <f>FIND(" ", A8,1)</f>
        <v>4</v>
      </c>
      <c r="B9" t="str">
        <f>LEFT(A8,A9-1)</f>
        <v>0.1</v>
      </c>
    </row>
    <row r="10" spans="1:2" x14ac:dyDescent="0.35">
      <c r="A10">
        <f>FIND(" ",$A$8,A9+1)</f>
        <v>9</v>
      </c>
      <c r="B10" t="str">
        <f>RIGHT(LEFT($A$8,A10),A10-A9)</f>
        <v xml:space="preserve">49.7 </v>
      </c>
    </row>
    <row r="11" spans="1:2" x14ac:dyDescent="0.35">
      <c r="A11">
        <f t="shared" ref="A11:A24" si="0">FIND(" ",$A$8,A10+1)</f>
        <v>14</v>
      </c>
      <c r="B11" t="str">
        <f t="shared" ref="B11:B74" si="1">RIGHT(LEFT($A$8,A11),A11-A10)</f>
        <v xml:space="preserve">0.12 </v>
      </c>
    </row>
    <row r="12" spans="1:2" x14ac:dyDescent="0.35">
      <c r="A12">
        <f t="shared" si="0"/>
        <v>19</v>
      </c>
      <c r="B12" t="str">
        <f t="shared" si="1"/>
        <v xml:space="preserve">44.3 </v>
      </c>
    </row>
    <row r="13" spans="1:2" x14ac:dyDescent="0.35">
      <c r="A13">
        <f t="shared" si="0"/>
        <v>24</v>
      </c>
      <c r="B13" t="str">
        <f t="shared" si="1"/>
        <v xml:space="preserve">0.15 </v>
      </c>
    </row>
    <row r="14" spans="1:2" x14ac:dyDescent="0.35">
      <c r="A14">
        <f t="shared" si="0"/>
        <v>29</v>
      </c>
      <c r="B14" t="str">
        <f t="shared" si="1"/>
        <v xml:space="preserve">38.1 </v>
      </c>
    </row>
    <row r="15" spans="1:2" x14ac:dyDescent="0.35">
      <c r="A15">
        <f t="shared" si="0"/>
        <v>34</v>
      </c>
      <c r="B15" t="str">
        <f t="shared" si="1"/>
        <v xml:space="preserve">0.17 </v>
      </c>
    </row>
    <row r="16" spans="1:2" x14ac:dyDescent="0.35">
      <c r="A16">
        <f t="shared" si="0"/>
        <v>39</v>
      </c>
      <c r="B16" t="str">
        <f t="shared" si="1"/>
        <v xml:space="preserve">34.9 </v>
      </c>
    </row>
    <row r="17" spans="1:2" x14ac:dyDescent="0.35">
      <c r="A17">
        <f t="shared" si="0"/>
        <v>43</v>
      </c>
      <c r="B17" t="str">
        <f t="shared" si="1"/>
        <v xml:space="preserve">0.2 </v>
      </c>
    </row>
    <row r="18" spans="1:2" x14ac:dyDescent="0.35">
      <c r="A18">
        <f t="shared" si="0"/>
        <v>48</v>
      </c>
      <c r="B18" t="str">
        <f t="shared" si="1"/>
        <v xml:space="preserve">31.1 </v>
      </c>
    </row>
    <row r="19" spans="1:2" x14ac:dyDescent="0.35">
      <c r="A19">
        <f t="shared" si="0"/>
        <v>53</v>
      </c>
      <c r="B19" t="str">
        <f t="shared" si="1"/>
        <v xml:space="preserve">0.25 </v>
      </c>
    </row>
    <row r="20" spans="1:2" x14ac:dyDescent="0.35">
      <c r="A20">
        <f t="shared" si="0"/>
        <v>58</v>
      </c>
      <c r="B20" t="str">
        <f t="shared" si="1"/>
        <v xml:space="preserve">26.4 </v>
      </c>
    </row>
    <row r="21" spans="1:2" x14ac:dyDescent="0.35">
      <c r="A21">
        <f t="shared" si="0"/>
        <v>62</v>
      </c>
      <c r="B21" t="str">
        <f t="shared" si="1"/>
        <v xml:space="preserve">0.3 </v>
      </c>
    </row>
    <row r="22" spans="1:2" x14ac:dyDescent="0.35">
      <c r="A22">
        <f t="shared" si="0"/>
        <v>67</v>
      </c>
      <c r="B22" t="str">
        <f t="shared" si="1"/>
        <v xml:space="preserve">23.0 </v>
      </c>
    </row>
    <row r="23" spans="1:2" x14ac:dyDescent="0.35">
      <c r="A23">
        <f t="shared" si="0"/>
        <v>72</v>
      </c>
      <c r="B23" t="str">
        <f t="shared" si="1"/>
        <v xml:space="preserve">0.35 </v>
      </c>
    </row>
    <row r="24" spans="1:2" x14ac:dyDescent="0.35">
      <c r="A24">
        <f t="shared" si="0"/>
        <v>77</v>
      </c>
      <c r="B24" t="str">
        <f t="shared" si="1"/>
        <v xml:space="preserve">20.5 </v>
      </c>
    </row>
    <row r="25" spans="1:2" x14ac:dyDescent="0.35">
      <c r="A25">
        <f t="shared" ref="A25:A35" si="2">FIND(" ",$A$8,A24+1)</f>
        <v>81</v>
      </c>
      <c r="B25" t="str">
        <f t="shared" si="1"/>
        <v xml:space="preserve">0.4 </v>
      </c>
    </row>
    <row r="26" spans="1:2" x14ac:dyDescent="0.35">
      <c r="A26">
        <f t="shared" si="2"/>
        <v>86</v>
      </c>
      <c r="B26" t="str">
        <f t="shared" si="1"/>
        <v xml:space="preserve">18.6 </v>
      </c>
    </row>
    <row r="27" spans="1:2" x14ac:dyDescent="0.35">
      <c r="A27">
        <f t="shared" si="2"/>
        <v>91</v>
      </c>
      <c r="B27" t="str">
        <f t="shared" si="1"/>
        <v xml:space="preserve">0.45 </v>
      </c>
    </row>
    <row r="28" spans="1:2" x14ac:dyDescent="0.35">
      <c r="A28">
        <f t="shared" si="2"/>
        <v>96</v>
      </c>
      <c r="B28" t="str">
        <f t="shared" si="1"/>
        <v xml:space="preserve">17.0 </v>
      </c>
    </row>
    <row r="29" spans="1:2" x14ac:dyDescent="0.35">
      <c r="A29">
        <f t="shared" si="2"/>
        <v>100</v>
      </c>
      <c r="B29" t="str">
        <f t="shared" si="1"/>
        <v xml:space="preserve">0.5 </v>
      </c>
    </row>
    <row r="30" spans="1:2" x14ac:dyDescent="0.35">
      <c r="A30">
        <f t="shared" si="2"/>
        <v>105</v>
      </c>
      <c r="B30" t="str">
        <f t="shared" si="1"/>
        <v xml:space="preserve">15.7 </v>
      </c>
    </row>
    <row r="31" spans="1:2" x14ac:dyDescent="0.35">
      <c r="A31">
        <f t="shared" si="2"/>
        <v>109</v>
      </c>
      <c r="B31" t="str">
        <f t="shared" si="1"/>
        <v xml:space="preserve">0.6 </v>
      </c>
    </row>
    <row r="32" spans="1:2" x14ac:dyDescent="0.35">
      <c r="A32">
        <f t="shared" si="2"/>
        <v>114</v>
      </c>
      <c r="B32" t="str">
        <f t="shared" si="1"/>
        <v xml:space="preserve">13.6 </v>
      </c>
    </row>
    <row r="33" spans="1:2" x14ac:dyDescent="0.35">
      <c r="A33">
        <f t="shared" si="2"/>
        <v>118</v>
      </c>
      <c r="B33" t="str">
        <f t="shared" si="1"/>
        <v xml:space="preserve">0.7 </v>
      </c>
    </row>
    <row r="34" spans="1:2" x14ac:dyDescent="0.35">
      <c r="A34">
        <f t="shared" si="2"/>
        <v>123</v>
      </c>
      <c r="B34" t="str">
        <f t="shared" si="1"/>
        <v xml:space="preserve">11.9 </v>
      </c>
    </row>
    <row r="35" spans="1:2" x14ac:dyDescent="0.35">
      <c r="A35">
        <f t="shared" si="2"/>
        <v>127</v>
      </c>
      <c r="B35" t="str">
        <f t="shared" si="1"/>
        <v xml:space="preserve">0.8 </v>
      </c>
    </row>
    <row r="36" spans="1:2" x14ac:dyDescent="0.35">
      <c r="A36">
        <f t="shared" ref="A36:A54" si="3">FIND(" ",$A$8,A35+1)</f>
        <v>132</v>
      </c>
      <c r="B36" t="str">
        <f t="shared" si="1"/>
        <v xml:space="preserve">10.5 </v>
      </c>
    </row>
    <row r="37" spans="1:2" x14ac:dyDescent="0.35">
      <c r="A37">
        <f t="shared" si="3"/>
        <v>136</v>
      </c>
      <c r="B37" t="str">
        <f t="shared" si="1"/>
        <v xml:space="preserve">0.9 </v>
      </c>
    </row>
    <row r="38" spans="1:2" x14ac:dyDescent="0.35">
      <c r="A38">
        <f t="shared" si="3"/>
        <v>141</v>
      </c>
      <c r="B38" t="str">
        <f t="shared" si="1"/>
        <v xml:space="preserve">9.25 </v>
      </c>
    </row>
    <row r="39" spans="1:2" x14ac:dyDescent="0.35">
      <c r="A39">
        <f t="shared" si="3"/>
        <v>143</v>
      </c>
      <c r="B39" t="str">
        <f t="shared" si="1"/>
        <v xml:space="preserve">1 </v>
      </c>
    </row>
    <row r="40" spans="1:2" x14ac:dyDescent="0.35">
      <c r="A40">
        <f t="shared" si="3"/>
        <v>148</v>
      </c>
      <c r="B40" t="str">
        <f t="shared" si="1"/>
        <v xml:space="preserve">8.29 </v>
      </c>
    </row>
    <row r="41" spans="1:2" x14ac:dyDescent="0.35">
      <c r="A41">
        <f t="shared" si="3"/>
        <v>152</v>
      </c>
      <c r="B41" t="str">
        <f t="shared" si="1"/>
        <v xml:space="preserve">1.2 </v>
      </c>
    </row>
    <row r="42" spans="1:2" x14ac:dyDescent="0.35">
      <c r="A42">
        <f t="shared" si="3"/>
        <v>157</v>
      </c>
      <c r="B42" t="str">
        <f t="shared" si="1"/>
        <v xml:space="preserve">7.22 </v>
      </c>
    </row>
    <row r="43" spans="1:2" x14ac:dyDescent="0.35">
      <c r="A43">
        <f t="shared" si="3"/>
        <v>161</v>
      </c>
      <c r="B43" t="str">
        <f t="shared" si="1"/>
        <v xml:space="preserve">1.5 </v>
      </c>
    </row>
    <row r="44" spans="1:2" x14ac:dyDescent="0.35">
      <c r="A44">
        <f t="shared" si="3"/>
        <v>166</v>
      </c>
      <c r="B44" t="str">
        <f t="shared" si="1"/>
        <v xml:space="preserve">6.32 </v>
      </c>
    </row>
    <row r="45" spans="1:2" x14ac:dyDescent="0.35">
      <c r="A45">
        <f t="shared" si="3"/>
        <v>170</v>
      </c>
      <c r="B45" t="str">
        <f t="shared" si="1"/>
        <v xml:space="preserve">1.7 </v>
      </c>
    </row>
    <row r="46" spans="1:2" x14ac:dyDescent="0.35">
      <c r="A46">
        <f t="shared" si="3"/>
        <v>175</v>
      </c>
      <c r="B46" t="str">
        <f t="shared" si="1"/>
        <v xml:space="preserve">6.02 </v>
      </c>
    </row>
    <row r="47" spans="1:2" x14ac:dyDescent="0.35">
      <c r="A47">
        <f t="shared" si="3"/>
        <v>177</v>
      </c>
      <c r="B47" t="str">
        <f t="shared" si="1"/>
        <v xml:space="preserve">2 </v>
      </c>
    </row>
    <row r="48" spans="1:2" x14ac:dyDescent="0.35">
      <c r="A48">
        <f t="shared" si="3"/>
        <v>182</v>
      </c>
      <c r="B48" t="str">
        <f t="shared" si="1"/>
        <v xml:space="preserve">5.94 </v>
      </c>
    </row>
    <row r="49" spans="1:2" x14ac:dyDescent="0.35">
      <c r="A49">
        <f t="shared" si="3"/>
        <v>186</v>
      </c>
      <c r="B49" t="str">
        <f t="shared" si="1"/>
        <v xml:space="preserve">2.5 </v>
      </c>
    </row>
    <row r="50" spans="1:2" x14ac:dyDescent="0.35">
      <c r="A50">
        <f t="shared" si="3"/>
        <v>191</v>
      </c>
      <c r="B50" t="str">
        <f t="shared" si="1"/>
        <v xml:space="preserve">6.81 </v>
      </c>
    </row>
    <row r="51" spans="1:2" x14ac:dyDescent="0.35">
      <c r="A51">
        <f t="shared" si="3"/>
        <v>193</v>
      </c>
      <c r="B51" t="str">
        <f t="shared" si="1"/>
        <v xml:space="preserve">3 </v>
      </c>
    </row>
    <row r="52" spans="1:2" x14ac:dyDescent="0.35">
      <c r="A52">
        <f t="shared" si="3"/>
        <v>198</v>
      </c>
      <c r="B52" t="str">
        <f t="shared" si="1"/>
        <v xml:space="preserve">8.77 </v>
      </c>
    </row>
    <row r="53" spans="1:2" x14ac:dyDescent="0.35">
      <c r="A53">
        <f t="shared" si="3"/>
        <v>202</v>
      </c>
      <c r="B53" t="str">
        <f t="shared" si="1"/>
        <v xml:space="preserve">3.5 </v>
      </c>
    </row>
    <row r="54" spans="1:2" x14ac:dyDescent="0.35">
      <c r="A54">
        <f t="shared" si="3"/>
        <v>207</v>
      </c>
      <c r="B54" t="str">
        <f t="shared" si="1"/>
        <v xml:space="preserve">13.3 </v>
      </c>
    </row>
    <row r="55" spans="1:2" x14ac:dyDescent="0.35">
      <c r="A55">
        <f t="shared" ref="A55:A61" si="4">FIND(" ",$A$8,A54+1)</f>
        <v>211</v>
      </c>
      <c r="B55" t="str">
        <f t="shared" si="1"/>
        <v xml:space="preserve">3.8 </v>
      </c>
    </row>
    <row r="56" spans="1:2" x14ac:dyDescent="0.35">
      <c r="A56">
        <f t="shared" si="4"/>
        <v>216</v>
      </c>
      <c r="B56" t="str">
        <f t="shared" si="1"/>
        <v xml:space="preserve">15.8 </v>
      </c>
    </row>
    <row r="57" spans="1:2" x14ac:dyDescent="0.35">
      <c r="A57">
        <f t="shared" si="4"/>
        <v>218</v>
      </c>
      <c r="B57" t="str">
        <f t="shared" si="1"/>
        <v xml:space="preserve">4 </v>
      </c>
    </row>
    <row r="58" spans="1:2" x14ac:dyDescent="0.35">
      <c r="A58">
        <f t="shared" si="4"/>
        <v>223</v>
      </c>
      <c r="B58" t="str">
        <f t="shared" si="1"/>
        <v xml:space="preserve">14.9 </v>
      </c>
    </row>
    <row r="59" spans="1:2" x14ac:dyDescent="0.35">
      <c r="A59">
        <f t="shared" si="4"/>
        <v>227</v>
      </c>
      <c r="B59" t="str">
        <f t="shared" si="1"/>
        <v xml:space="preserve">4.5 </v>
      </c>
    </row>
    <row r="60" spans="1:2" x14ac:dyDescent="0.35">
      <c r="A60">
        <f t="shared" si="4"/>
        <v>232</v>
      </c>
      <c r="B60" t="str">
        <f t="shared" si="1"/>
        <v xml:space="preserve">11.3 </v>
      </c>
    </row>
    <row r="61" spans="1:2" x14ac:dyDescent="0.35">
      <c r="A61">
        <f t="shared" si="4"/>
        <v>234</v>
      </c>
      <c r="B61" t="str">
        <f t="shared" si="1"/>
        <v xml:space="preserve">5 </v>
      </c>
    </row>
    <row r="62" spans="1:2" x14ac:dyDescent="0.35">
      <c r="A62">
        <f t="shared" ref="A62:A125" si="5">FIND(" ",$A$8,A61+1)</f>
        <v>239</v>
      </c>
      <c r="B62" t="str">
        <f t="shared" si="1"/>
        <v xml:space="preserve">9.06 </v>
      </c>
    </row>
    <row r="63" spans="1:2" x14ac:dyDescent="0.35">
      <c r="A63">
        <f t="shared" si="5"/>
        <v>241</v>
      </c>
      <c r="B63" t="str">
        <f t="shared" si="1"/>
        <v xml:space="preserve">6 </v>
      </c>
    </row>
    <row r="64" spans="1:2" x14ac:dyDescent="0.35">
      <c r="A64">
        <f t="shared" si="5"/>
        <v>246</v>
      </c>
      <c r="B64" t="str">
        <f t="shared" si="1"/>
        <v xml:space="preserve">8.44 </v>
      </c>
    </row>
    <row r="65" spans="1:2" x14ac:dyDescent="0.35">
      <c r="A65">
        <f t="shared" si="5"/>
        <v>248</v>
      </c>
      <c r="B65" t="str">
        <f t="shared" si="1"/>
        <v xml:space="preserve">7 </v>
      </c>
    </row>
    <row r="66" spans="1:2" x14ac:dyDescent="0.35">
      <c r="A66">
        <f t="shared" si="5"/>
        <v>253</v>
      </c>
      <c r="B66" t="str">
        <f t="shared" si="1"/>
        <v xml:space="preserve">9.21 </v>
      </c>
    </row>
    <row r="67" spans="1:2" x14ac:dyDescent="0.35">
      <c r="A67">
        <f t="shared" si="5"/>
        <v>255</v>
      </c>
      <c r="B67" t="str">
        <f t="shared" si="1"/>
        <v xml:space="preserve">8 </v>
      </c>
    </row>
    <row r="68" spans="1:2" x14ac:dyDescent="0.35">
      <c r="A68">
        <f t="shared" si="5"/>
        <v>260</v>
      </c>
      <c r="B68" t="str">
        <f t="shared" si="1"/>
        <v xml:space="preserve">10.3 </v>
      </c>
    </row>
    <row r="69" spans="1:2" x14ac:dyDescent="0.35">
      <c r="A69">
        <f t="shared" si="5"/>
        <v>262</v>
      </c>
      <c r="B69" t="str">
        <f t="shared" si="1"/>
        <v xml:space="preserve">9 </v>
      </c>
    </row>
    <row r="70" spans="1:2" x14ac:dyDescent="0.35">
      <c r="A70">
        <f t="shared" si="5"/>
        <v>267</v>
      </c>
      <c r="B70" t="str">
        <f t="shared" si="1"/>
        <v xml:space="preserve">11.3 </v>
      </c>
    </row>
    <row r="71" spans="1:2" x14ac:dyDescent="0.35">
      <c r="A71">
        <f t="shared" si="5"/>
        <v>270</v>
      </c>
      <c r="B71" t="str">
        <f t="shared" si="1"/>
        <v xml:space="preserve">10 </v>
      </c>
    </row>
    <row r="72" spans="1:2" x14ac:dyDescent="0.35">
      <c r="A72">
        <f t="shared" si="5"/>
        <v>275</v>
      </c>
      <c r="B72" t="str">
        <f t="shared" si="1"/>
        <v xml:space="preserve">12.2 </v>
      </c>
    </row>
    <row r="73" spans="1:2" x14ac:dyDescent="0.35">
      <c r="A73">
        <f t="shared" si="5"/>
        <v>278</v>
      </c>
      <c r="B73" t="str">
        <f t="shared" si="1"/>
        <v xml:space="preserve">12 </v>
      </c>
    </row>
    <row r="74" spans="1:2" x14ac:dyDescent="0.35">
      <c r="A74">
        <f t="shared" si="5"/>
        <v>283</v>
      </c>
      <c r="B74" t="str">
        <f t="shared" si="1"/>
        <v xml:space="preserve">14.2 </v>
      </c>
    </row>
    <row r="75" spans="1:2" x14ac:dyDescent="0.35">
      <c r="A75">
        <f t="shared" si="5"/>
        <v>286</v>
      </c>
      <c r="B75" t="str">
        <f t="shared" ref="B75:B136" si="6">RIGHT(LEFT($A$8,A75),A75-A74)</f>
        <v xml:space="preserve">15 </v>
      </c>
    </row>
    <row r="76" spans="1:2" x14ac:dyDescent="0.35">
      <c r="A76">
        <f t="shared" si="5"/>
        <v>291</v>
      </c>
      <c r="B76" t="str">
        <f t="shared" si="6"/>
        <v xml:space="preserve">15.8 </v>
      </c>
    </row>
    <row r="77" spans="1:2" x14ac:dyDescent="0.35">
      <c r="A77">
        <f t="shared" si="5"/>
        <v>294</v>
      </c>
      <c r="B77" t="str">
        <f t="shared" si="6"/>
        <v xml:space="preserve">17 </v>
      </c>
    </row>
    <row r="78" spans="1:2" x14ac:dyDescent="0.35">
      <c r="A78">
        <f t="shared" si="5"/>
        <v>299</v>
      </c>
      <c r="B78" t="str">
        <f t="shared" si="6"/>
        <v xml:space="preserve">16.4 </v>
      </c>
    </row>
    <row r="79" spans="1:2" x14ac:dyDescent="0.35">
      <c r="A79">
        <f t="shared" si="5"/>
        <v>302</v>
      </c>
      <c r="B79" t="str">
        <f t="shared" si="6"/>
        <v xml:space="preserve">20 </v>
      </c>
    </row>
    <row r="80" spans="1:2" x14ac:dyDescent="0.35">
      <c r="A80">
        <f t="shared" si="5"/>
        <v>307</v>
      </c>
      <c r="B80" t="str">
        <f t="shared" si="6"/>
        <v xml:space="preserve">17.0 </v>
      </c>
    </row>
    <row r="81" spans="1:2" x14ac:dyDescent="0.35">
      <c r="A81">
        <f t="shared" si="5"/>
        <v>310</v>
      </c>
      <c r="B81" t="str">
        <f t="shared" si="6"/>
        <v xml:space="preserve">25 </v>
      </c>
    </row>
    <row r="82" spans="1:2" x14ac:dyDescent="0.35">
      <c r="A82">
        <f t="shared" si="5"/>
        <v>315</v>
      </c>
      <c r="B82" t="str">
        <f t="shared" si="6"/>
        <v xml:space="preserve">17.8 </v>
      </c>
    </row>
    <row r="83" spans="1:2" x14ac:dyDescent="0.35">
      <c r="A83">
        <f t="shared" si="5"/>
        <v>318</v>
      </c>
      <c r="B83" t="str">
        <f t="shared" si="6"/>
        <v xml:space="preserve">30 </v>
      </c>
    </row>
    <row r="84" spans="1:2" x14ac:dyDescent="0.35">
      <c r="A84">
        <f t="shared" si="5"/>
        <v>323</v>
      </c>
      <c r="B84" t="str">
        <f t="shared" si="6"/>
        <v xml:space="preserve">18.0 </v>
      </c>
    </row>
    <row r="85" spans="1:2" x14ac:dyDescent="0.35">
      <c r="A85">
        <f t="shared" si="5"/>
        <v>326</v>
      </c>
      <c r="B85" t="str">
        <f t="shared" si="6"/>
        <v xml:space="preserve">35 </v>
      </c>
    </row>
    <row r="86" spans="1:2" x14ac:dyDescent="0.35">
      <c r="A86">
        <f t="shared" si="5"/>
        <v>331</v>
      </c>
      <c r="B86" t="str">
        <f t="shared" si="6"/>
        <v xml:space="preserve">17.6 </v>
      </c>
    </row>
    <row r="87" spans="1:2" x14ac:dyDescent="0.35">
      <c r="A87">
        <f t="shared" si="5"/>
        <v>334</v>
      </c>
      <c r="B87" t="str">
        <f t="shared" si="6"/>
        <v xml:space="preserve">40 </v>
      </c>
    </row>
    <row r="88" spans="1:2" x14ac:dyDescent="0.35">
      <c r="A88">
        <f t="shared" si="5"/>
        <v>339</v>
      </c>
      <c r="B88" t="str">
        <f t="shared" si="6"/>
        <v xml:space="preserve">17.0 </v>
      </c>
    </row>
    <row r="89" spans="1:2" x14ac:dyDescent="0.35">
      <c r="A89">
        <f t="shared" si="5"/>
        <v>342</v>
      </c>
      <c r="B89" t="str">
        <f t="shared" si="6"/>
        <v xml:space="preserve">45 </v>
      </c>
    </row>
    <row r="90" spans="1:2" x14ac:dyDescent="0.35">
      <c r="A90">
        <f t="shared" si="5"/>
        <v>347</v>
      </c>
      <c r="B90" t="str">
        <f t="shared" si="6"/>
        <v xml:space="preserve">16.4 </v>
      </c>
    </row>
    <row r="91" spans="1:2" x14ac:dyDescent="0.35">
      <c r="A91">
        <f t="shared" si="5"/>
        <v>350</v>
      </c>
      <c r="B91" t="str">
        <f t="shared" si="6"/>
        <v xml:space="preserve">50 </v>
      </c>
    </row>
    <row r="92" spans="1:2" x14ac:dyDescent="0.35">
      <c r="A92">
        <f t="shared" si="5"/>
        <v>355</v>
      </c>
      <c r="B92" t="str">
        <f t="shared" si="6"/>
        <v xml:space="preserve">15.8 </v>
      </c>
    </row>
    <row r="93" spans="1:2" x14ac:dyDescent="0.35">
      <c r="A93">
        <f t="shared" si="5"/>
        <v>358</v>
      </c>
      <c r="B93" t="str">
        <f t="shared" si="6"/>
        <v xml:space="preserve">60 </v>
      </c>
    </row>
    <row r="94" spans="1:2" x14ac:dyDescent="0.35">
      <c r="A94">
        <f t="shared" si="5"/>
        <v>363</v>
      </c>
      <c r="B94" t="str">
        <f t="shared" si="6"/>
        <v xml:space="preserve">14.8 </v>
      </c>
    </row>
    <row r="95" spans="1:2" x14ac:dyDescent="0.35">
      <c r="A95">
        <f t="shared" si="5"/>
        <v>366</v>
      </c>
      <c r="B95" t="str">
        <f t="shared" si="6"/>
        <v xml:space="preserve">70 </v>
      </c>
    </row>
    <row r="96" spans="1:2" x14ac:dyDescent="0.35">
      <c r="A96">
        <f t="shared" si="5"/>
        <v>371</v>
      </c>
      <c r="B96" t="str">
        <f t="shared" si="6"/>
        <v xml:space="preserve">13.5 </v>
      </c>
    </row>
    <row r="97" spans="1:2" x14ac:dyDescent="0.35">
      <c r="A97">
        <f t="shared" si="5"/>
        <v>374</v>
      </c>
      <c r="B97" t="str">
        <f t="shared" si="6"/>
        <v xml:space="preserve">80 </v>
      </c>
    </row>
    <row r="98" spans="1:2" x14ac:dyDescent="0.35">
      <c r="A98">
        <f t="shared" si="5"/>
        <v>379</v>
      </c>
      <c r="B98" t="str">
        <f t="shared" si="6"/>
        <v xml:space="preserve">13.5 </v>
      </c>
    </row>
    <row r="99" spans="1:2" x14ac:dyDescent="0.35">
      <c r="A99">
        <f t="shared" si="5"/>
        <v>382</v>
      </c>
      <c r="B99" t="str">
        <f t="shared" si="6"/>
        <v xml:space="preserve">90 </v>
      </c>
    </row>
    <row r="100" spans="1:2" x14ac:dyDescent="0.35">
      <c r="A100">
        <f t="shared" si="5"/>
        <v>387</v>
      </c>
      <c r="B100" t="str">
        <f t="shared" si="6"/>
        <v xml:space="preserve">13.1 </v>
      </c>
    </row>
    <row r="101" spans="1:2" x14ac:dyDescent="0.35">
      <c r="A101">
        <f t="shared" si="5"/>
        <v>391</v>
      </c>
      <c r="B101" t="str">
        <f t="shared" si="6"/>
        <v xml:space="preserve">100 </v>
      </c>
    </row>
    <row r="102" spans="1:2" x14ac:dyDescent="0.35">
      <c r="A102">
        <f t="shared" si="5"/>
        <v>396</v>
      </c>
      <c r="B102" t="str">
        <f t="shared" si="6"/>
        <v xml:space="preserve">12.6 </v>
      </c>
    </row>
    <row r="103" spans="1:2" x14ac:dyDescent="0.35">
      <c r="A103">
        <f t="shared" si="5"/>
        <v>400</v>
      </c>
      <c r="B103" t="str">
        <f t="shared" si="6"/>
        <v xml:space="preserve">120 </v>
      </c>
    </row>
    <row r="104" spans="1:2" x14ac:dyDescent="0.35">
      <c r="A104">
        <f t="shared" si="5"/>
        <v>405</v>
      </c>
      <c r="B104" t="str">
        <f t="shared" si="6"/>
        <v xml:space="preserve">11.8 </v>
      </c>
    </row>
    <row r="105" spans="1:2" x14ac:dyDescent="0.35">
      <c r="A105">
        <f t="shared" si="5"/>
        <v>409</v>
      </c>
      <c r="B105" t="str">
        <f t="shared" si="6"/>
        <v xml:space="preserve">150 </v>
      </c>
    </row>
    <row r="106" spans="1:2" x14ac:dyDescent="0.35">
      <c r="A106">
        <f t="shared" si="5"/>
        <v>414</v>
      </c>
      <c r="B106" t="str">
        <f t="shared" si="6"/>
        <v xml:space="preserve">10.6 </v>
      </c>
    </row>
    <row r="107" spans="1:2" x14ac:dyDescent="0.35">
      <c r="A107">
        <f t="shared" si="5"/>
        <v>418</v>
      </c>
      <c r="B107" t="str">
        <f t="shared" si="6"/>
        <v xml:space="preserve">170 </v>
      </c>
    </row>
    <row r="108" spans="1:2" x14ac:dyDescent="0.35">
      <c r="A108">
        <f t="shared" si="5"/>
        <v>423</v>
      </c>
      <c r="B108" t="str">
        <f t="shared" si="6"/>
        <v xml:space="preserve">10.0 </v>
      </c>
    </row>
    <row r="109" spans="1:2" x14ac:dyDescent="0.35">
      <c r="A109">
        <f t="shared" si="5"/>
        <v>427</v>
      </c>
      <c r="B109" t="str">
        <f t="shared" si="6"/>
        <v xml:space="preserve">200 </v>
      </c>
    </row>
    <row r="110" spans="1:2" x14ac:dyDescent="0.35">
      <c r="A110">
        <f t="shared" si="5"/>
        <v>432</v>
      </c>
      <c r="B110" t="str">
        <f t="shared" si="6"/>
        <v xml:space="preserve">9.24 </v>
      </c>
    </row>
    <row r="111" spans="1:2" x14ac:dyDescent="0.35">
      <c r="A111">
        <f t="shared" si="5"/>
        <v>436</v>
      </c>
      <c r="B111" t="str">
        <f t="shared" si="6"/>
        <v xml:space="preserve">250 </v>
      </c>
    </row>
    <row r="112" spans="1:2" x14ac:dyDescent="0.35">
      <c r="A112">
        <f t="shared" si="5"/>
        <v>441</v>
      </c>
      <c r="B112" t="str">
        <f t="shared" si="6"/>
        <v xml:space="preserve">8.20 </v>
      </c>
    </row>
    <row r="113" spans="1:2" x14ac:dyDescent="0.35">
      <c r="A113">
        <f t="shared" si="5"/>
        <v>445</v>
      </c>
      <c r="B113" t="str">
        <f t="shared" si="6"/>
        <v xml:space="preserve">300 </v>
      </c>
    </row>
    <row r="114" spans="1:2" x14ac:dyDescent="0.35">
      <c r="A114">
        <f t="shared" si="5"/>
        <v>450</v>
      </c>
      <c r="B114" t="str">
        <f t="shared" si="6"/>
        <v xml:space="preserve">7.39 </v>
      </c>
    </row>
    <row r="115" spans="1:2" x14ac:dyDescent="0.35">
      <c r="A115">
        <f t="shared" si="5"/>
        <v>454</v>
      </c>
      <c r="B115" t="str">
        <f t="shared" si="6"/>
        <v xml:space="preserve">250 </v>
      </c>
    </row>
    <row r="116" spans="1:2" x14ac:dyDescent="0.35">
      <c r="A116">
        <f t="shared" si="5"/>
        <v>459</v>
      </c>
      <c r="B116" t="str">
        <f t="shared" si="6"/>
        <v xml:space="preserve">6.73 </v>
      </c>
    </row>
    <row r="117" spans="1:2" x14ac:dyDescent="0.35">
      <c r="A117">
        <f t="shared" si="5"/>
        <v>463</v>
      </c>
      <c r="B117" t="str">
        <f t="shared" si="6"/>
        <v xml:space="preserve">300 </v>
      </c>
    </row>
    <row r="118" spans="1:2" x14ac:dyDescent="0.35">
      <c r="A118">
        <f t="shared" si="5"/>
        <v>468</v>
      </c>
      <c r="B118" t="str">
        <f t="shared" si="6"/>
        <v xml:space="preserve">7.39 </v>
      </c>
    </row>
    <row r="119" spans="1:2" x14ac:dyDescent="0.35">
      <c r="A119">
        <f t="shared" si="5"/>
        <v>472</v>
      </c>
      <c r="B119" t="str">
        <f t="shared" si="6"/>
        <v xml:space="preserve">350 </v>
      </c>
    </row>
    <row r="120" spans="1:2" x14ac:dyDescent="0.35">
      <c r="A120">
        <f t="shared" si="5"/>
        <v>477</v>
      </c>
      <c r="B120" t="str">
        <f t="shared" si="6"/>
        <v xml:space="preserve">6.73 </v>
      </c>
    </row>
    <row r="121" spans="1:2" x14ac:dyDescent="0.35">
      <c r="A121">
        <f t="shared" si="5"/>
        <v>481</v>
      </c>
      <c r="B121" t="str">
        <f t="shared" si="6"/>
        <v xml:space="preserve">400 </v>
      </c>
    </row>
    <row r="122" spans="1:2" x14ac:dyDescent="0.35">
      <c r="A122">
        <f t="shared" si="5"/>
        <v>486</v>
      </c>
      <c r="B122" t="str">
        <f t="shared" si="6"/>
        <v xml:space="preserve">6.08 </v>
      </c>
    </row>
    <row r="123" spans="1:2" x14ac:dyDescent="0.35">
      <c r="A123">
        <f t="shared" si="5"/>
        <v>490</v>
      </c>
      <c r="B123" t="str">
        <f t="shared" si="6"/>
        <v xml:space="preserve">450 </v>
      </c>
    </row>
    <row r="124" spans="1:2" x14ac:dyDescent="0.35">
      <c r="A124">
        <f t="shared" si="5"/>
        <v>495</v>
      </c>
      <c r="B124" t="str">
        <f t="shared" si="6"/>
        <v xml:space="preserve">5.62 </v>
      </c>
    </row>
    <row r="125" spans="1:2" x14ac:dyDescent="0.35">
      <c r="A125">
        <f t="shared" si="5"/>
        <v>499</v>
      </c>
      <c r="B125" t="str">
        <f t="shared" si="6"/>
        <v xml:space="preserve">500 </v>
      </c>
    </row>
    <row r="126" spans="1:2" x14ac:dyDescent="0.35">
      <c r="A126">
        <f t="shared" ref="A126:A136" si="7">FIND(" ",$A$8,A125+1)</f>
        <v>504</v>
      </c>
      <c r="B126" t="str">
        <f t="shared" si="6"/>
        <v xml:space="preserve">5.23 </v>
      </c>
    </row>
    <row r="127" spans="1:2" x14ac:dyDescent="0.35">
      <c r="A127">
        <f t="shared" si="7"/>
        <v>508</v>
      </c>
      <c r="B127" t="str">
        <f t="shared" si="6"/>
        <v xml:space="preserve">600 </v>
      </c>
    </row>
    <row r="128" spans="1:2" x14ac:dyDescent="0.35">
      <c r="A128">
        <f t="shared" si="7"/>
        <v>513</v>
      </c>
      <c r="B128" t="str">
        <f t="shared" si="6"/>
        <v xml:space="preserve">4.63 </v>
      </c>
    </row>
    <row r="129" spans="1:2" x14ac:dyDescent="0.35">
      <c r="A129">
        <f t="shared" si="7"/>
        <v>517</v>
      </c>
      <c r="B129" t="str">
        <f t="shared" si="6"/>
        <v xml:space="preserve">700 </v>
      </c>
    </row>
    <row r="130" spans="1:2" x14ac:dyDescent="0.35">
      <c r="A130">
        <f t="shared" si="7"/>
        <v>522</v>
      </c>
      <c r="B130" t="str">
        <f t="shared" si="6"/>
        <v xml:space="preserve">4.16 </v>
      </c>
    </row>
    <row r="131" spans="1:2" x14ac:dyDescent="0.35">
      <c r="A131">
        <f t="shared" si="7"/>
        <v>526</v>
      </c>
      <c r="B131" t="str">
        <f t="shared" si="6"/>
        <v xml:space="preserve">800 </v>
      </c>
    </row>
    <row r="132" spans="1:2" x14ac:dyDescent="0.35">
      <c r="A132">
        <f t="shared" si="7"/>
        <v>531</v>
      </c>
      <c r="B132" t="str">
        <f t="shared" si="6"/>
        <v xml:space="preserve">3.78 </v>
      </c>
    </row>
    <row r="133" spans="1:2" x14ac:dyDescent="0.35">
      <c r="A133">
        <f t="shared" si="7"/>
        <v>535</v>
      </c>
      <c r="B133" t="str">
        <f t="shared" si="6"/>
        <v xml:space="preserve">900 </v>
      </c>
    </row>
    <row r="134" spans="1:2" x14ac:dyDescent="0.35">
      <c r="A134">
        <f t="shared" si="7"/>
        <v>540</v>
      </c>
      <c r="B134" t="str">
        <f t="shared" si="6"/>
        <v xml:space="preserve">3.47 </v>
      </c>
    </row>
    <row r="135" spans="1:2" x14ac:dyDescent="0.35">
      <c r="A135">
        <f t="shared" si="7"/>
        <v>545</v>
      </c>
      <c r="B135" t="str">
        <f t="shared" si="6"/>
        <v xml:space="preserve">1000 </v>
      </c>
    </row>
    <row r="136" spans="1:2" x14ac:dyDescent="0.35">
      <c r="A136">
        <f t="shared" si="7"/>
        <v>550</v>
      </c>
      <c r="B136" t="str">
        <f t="shared" si="6"/>
        <v xml:space="preserve">3.20 </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65605BB-7FC4-4C67-9DC2-7A475DD9A41C}">
  <dimension ref="A2:D32"/>
  <sheetViews>
    <sheetView workbookViewId="0">
      <selection activeCell="B2" sqref="B2:D2"/>
    </sheetView>
  </sheetViews>
  <sheetFormatPr defaultRowHeight="14.5" x14ac:dyDescent="0.35"/>
  <sheetData>
    <row r="2" spans="1:4" x14ac:dyDescent="0.35">
      <c r="A2" t="s">
        <v>120</v>
      </c>
      <c r="B2">
        <f>FIND(" ", A2)</f>
        <v>4</v>
      </c>
      <c r="C2" t="str">
        <f>LEFT(A2, B2-1)</f>
        <v>1.0</v>
      </c>
      <c r="D2" t="str">
        <f xml:space="preserve"> RIGHT(A2, LEN(A2)-B2)</f>
        <v>5.00</v>
      </c>
    </row>
    <row r="3" spans="1:4" x14ac:dyDescent="0.35">
      <c r="A3" t="s">
        <v>121</v>
      </c>
      <c r="B3">
        <f t="shared" ref="B3:B32" si="0">FIND(" ", A3)</f>
        <v>4</v>
      </c>
      <c r="C3" t="str">
        <f t="shared" ref="C3:C32" si="1">LEFT(A3, B3-1)</f>
        <v>1.5</v>
      </c>
      <c r="D3" t="str">
        <f t="shared" ref="D3:D32" si="2" xml:space="preserve"> RIGHT(A3, LEN(A3)-B3)</f>
        <v>4.73</v>
      </c>
    </row>
    <row r="4" spans="1:4" x14ac:dyDescent="0.35">
      <c r="A4" t="s">
        <v>122</v>
      </c>
      <c r="B4">
        <f t="shared" si="0"/>
        <v>4</v>
      </c>
      <c r="C4" t="str">
        <f t="shared" si="1"/>
        <v>2.0</v>
      </c>
      <c r="D4" t="str">
        <f t="shared" si="2"/>
        <v>4.37</v>
      </c>
    </row>
    <row r="5" spans="1:4" x14ac:dyDescent="0.35">
      <c r="A5" t="s">
        <v>123</v>
      </c>
      <c r="B5">
        <f t="shared" si="0"/>
        <v>4</v>
      </c>
      <c r="C5" t="str">
        <f t="shared" si="1"/>
        <v>2.5</v>
      </c>
      <c r="D5" t="str">
        <f t="shared" si="2"/>
        <v>4.70</v>
      </c>
    </row>
    <row r="6" spans="1:4" x14ac:dyDescent="0.35">
      <c r="A6" t="s">
        <v>124</v>
      </c>
      <c r="B6">
        <f t="shared" si="0"/>
        <v>4</v>
      </c>
      <c r="C6" t="str">
        <f t="shared" si="1"/>
        <v>3.0</v>
      </c>
      <c r="D6" t="str">
        <f t="shared" si="2"/>
        <v>5.25</v>
      </c>
    </row>
    <row r="7" spans="1:4" x14ac:dyDescent="0.35">
      <c r="A7" t="s">
        <v>125</v>
      </c>
      <c r="B7">
        <f t="shared" si="0"/>
        <v>4</v>
      </c>
      <c r="C7" t="str">
        <f t="shared" si="1"/>
        <v>3.5</v>
      </c>
      <c r="D7" t="str">
        <f t="shared" si="2"/>
        <v>6.40</v>
      </c>
    </row>
    <row r="8" spans="1:4" x14ac:dyDescent="0.35">
      <c r="A8" t="s">
        <v>126</v>
      </c>
      <c r="B8">
        <f t="shared" si="0"/>
        <v>4</v>
      </c>
      <c r="C8" t="str">
        <f t="shared" si="1"/>
        <v>3.8</v>
      </c>
      <c r="D8" t="str">
        <f t="shared" si="2"/>
        <v>8.20</v>
      </c>
    </row>
    <row r="9" spans="1:4" x14ac:dyDescent="0.35">
      <c r="A9" t="s">
        <v>127</v>
      </c>
      <c r="B9">
        <f t="shared" si="0"/>
        <v>4</v>
      </c>
      <c r="C9" t="str">
        <f t="shared" si="1"/>
        <v>4.0</v>
      </c>
      <c r="D9" t="str">
        <f t="shared" si="2"/>
        <v>8.15</v>
      </c>
    </row>
    <row r="10" spans="1:4" x14ac:dyDescent="0.35">
      <c r="A10" t="s">
        <v>128</v>
      </c>
      <c r="B10">
        <f t="shared" si="0"/>
        <v>4</v>
      </c>
      <c r="C10" t="str">
        <f t="shared" si="1"/>
        <v>4.5</v>
      </c>
      <c r="D10" t="str">
        <f t="shared" si="2"/>
        <v>5.80</v>
      </c>
    </row>
    <row r="11" spans="1:4" x14ac:dyDescent="0.35">
      <c r="A11" t="s">
        <v>129</v>
      </c>
      <c r="B11">
        <f t="shared" si="0"/>
        <v>4</v>
      </c>
      <c r="C11" t="str">
        <f t="shared" si="1"/>
        <v>5.0</v>
      </c>
      <c r="D11" t="str">
        <f t="shared" si="2"/>
        <v>6.00</v>
      </c>
    </row>
    <row r="12" spans="1:4" x14ac:dyDescent="0.35">
      <c r="A12" t="s">
        <v>130</v>
      </c>
      <c r="B12">
        <f t="shared" si="0"/>
        <v>4</v>
      </c>
      <c r="C12" t="str">
        <f t="shared" si="1"/>
        <v>6.0</v>
      </c>
      <c r="D12" t="str">
        <f t="shared" si="2"/>
        <v>6.60</v>
      </c>
    </row>
    <row r="13" spans="1:4" x14ac:dyDescent="0.35">
      <c r="A13" t="s">
        <v>131</v>
      </c>
      <c r="B13">
        <f t="shared" si="0"/>
        <v>4</v>
      </c>
      <c r="C13" t="str">
        <f t="shared" si="1"/>
        <v>7.0</v>
      </c>
      <c r="D13" t="str">
        <f t="shared" si="2"/>
        <v>7.25</v>
      </c>
    </row>
    <row r="14" spans="1:4" x14ac:dyDescent="0.35">
      <c r="A14" t="s">
        <v>132</v>
      </c>
      <c r="B14">
        <f t="shared" si="0"/>
        <v>4</v>
      </c>
      <c r="C14" t="str">
        <f t="shared" si="1"/>
        <v>8.0</v>
      </c>
      <c r="D14" t="str">
        <f t="shared" si="2"/>
        <v>8.06</v>
      </c>
    </row>
    <row r="15" spans="1:4" x14ac:dyDescent="0.35">
      <c r="A15" t="s">
        <v>133</v>
      </c>
      <c r="B15">
        <f t="shared" si="0"/>
        <v>5</v>
      </c>
      <c r="C15" t="str">
        <f t="shared" si="1"/>
        <v>10.0</v>
      </c>
      <c r="D15" t="str">
        <f t="shared" si="2"/>
        <v>9.95</v>
      </c>
    </row>
    <row r="16" spans="1:4" x14ac:dyDescent="0.35">
      <c r="A16" t="s">
        <v>134</v>
      </c>
      <c r="B16">
        <f t="shared" si="0"/>
        <v>3</v>
      </c>
      <c r="C16" t="str">
        <f t="shared" si="1"/>
        <v>15</v>
      </c>
      <c r="D16" t="str">
        <f t="shared" si="2"/>
        <v>12.5</v>
      </c>
    </row>
    <row r="17" spans="1:4" x14ac:dyDescent="0.35">
      <c r="A17" t="s">
        <v>135</v>
      </c>
      <c r="B17">
        <f t="shared" si="0"/>
        <v>3</v>
      </c>
      <c r="C17" t="str">
        <f t="shared" si="1"/>
        <v>20</v>
      </c>
      <c r="D17" t="str">
        <f t="shared" si="2"/>
        <v>13.4</v>
      </c>
    </row>
    <row r="18" spans="1:4" x14ac:dyDescent="0.35">
      <c r="A18" t="s">
        <v>136</v>
      </c>
      <c r="B18">
        <f t="shared" si="0"/>
        <v>3</v>
      </c>
      <c r="C18" t="str">
        <f t="shared" si="1"/>
        <v>25</v>
      </c>
      <c r="D18" t="str">
        <f t="shared" si="2"/>
        <v>13.6</v>
      </c>
    </row>
    <row r="19" spans="1:4" x14ac:dyDescent="0.35">
      <c r="A19" t="s">
        <v>137</v>
      </c>
      <c r="B19">
        <f t="shared" si="0"/>
        <v>3</v>
      </c>
      <c r="C19" t="str">
        <f t="shared" si="1"/>
        <v>30</v>
      </c>
      <c r="D19" t="str">
        <f t="shared" si="2"/>
        <v>13.4</v>
      </c>
    </row>
    <row r="20" spans="1:4" x14ac:dyDescent="0.35">
      <c r="A20" t="s">
        <v>138</v>
      </c>
      <c r="B20">
        <f t="shared" si="0"/>
        <v>3</v>
      </c>
      <c r="C20" t="str">
        <f t="shared" si="1"/>
        <v>40</v>
      </c>
      <c r="D20" t="str">
        <f t="shared" si="2"/>
        <v>11.9</v>
      </c>
    </row>
    <row r="21" spans="1:4" x14ac:dyDescent="0.35">
      <c r="A21" t="s">
        <v>139</v>
      </c>
      <c r="B21">
        <f t="shared" si="0"/>
        <v>3</v>
      </c>
      <c r="C21" t="str">
        <f t="shared" si="1"/>
        <v>50</v>
      </c>
      <c r="D21" t="str">
        <f t="shared" si="2"/>
        <v>10.5</v>
      </c>
    </row>
    <row r="22" spans="1:4" x14ac:dyDescent="0.35">
      <c r="A22" t="s">
        <v>140</v>
      </c>
      <c r="B22">
        <f t="shared" si="0"/>
        <v>3</v>
      </c>
      <c r="C22" t="str">
        <f t="shared" si="1"/>
        <v>60</v>
      </c>
      <c r="D22" t="str">
        <f t="shared" si="2"/>
        <v>9.6</v>
      </c>
    </row>
    <row r="23" spans="1:4" x14ac:dyDescent="0.35">
      <c r="A23" t="s">
        <v>141</v>
      </c>
      <c r="B23">
        <f t="shared" si="0"/>
        <v>4</v>
      </c>
      <c r="C23" t="str">
        <f t="shared" si="1"/>
        <v>100</v>
      </c>
      <c r="D23" t="str">
        <f t="shared" si="2"/>
        <v>7.55</v>
      </c>
    </row>
    <row r="24" spans="1:4" x14ac:dyDescent="0.35">
      <c r="A24" t="s">
        <v>142</v>
      </c>
      <c r="B24">
        <f t="shared" si="0"/>
        <v>4</v>
      </c>
      <c r="C24" t="str">
        <f t="shared" si="1"/>
        <v>200</v>
      </c>
      <c r="D24" t="str">
        <f t="shared" si="2"/>
        <v>5.07</v>
      </c>
    </row>
    <row r="25" spans="1:4" x14ac:dyDescent="0.35">
      <c r="A25" t="s">
        <v>143</v>
      </c>
      <c r="B25">
        <f t="shared" si="0"/>
        <v>4</v>
      </c>
      <c r="C25" t="str">
        <f t="shared" si="1"/>
        <v>300</v>
      </c>
      <c r="D25" t="str">
        <f t="shared" si="2"/>
        <v>4.01</v>
      </c>
    </row>
    <row r="26" spans="1:4" x14ac:dyDescent="0.35">
      <c r="A26" t="s">
        <v>144</v>
      </c>
      <c r="B26">
        <f t="shared" si="0"/>
        <v>4</v>
      </c>
      <c r="C26" t="str">
        <f t="shared" si="1"/>
        <v>400</v>
      </c>
      <c r="D26" t="str">
        <f t="shared" si="2"/>
        <v>3.39</v>
      </c>
    </row>
    <row r="27" spans="1:4" x14ac:dyDescent="0.35">
      <c r="A27" t="s">
        <v>145</v>
      </c>
      <c r="B27">
        <f t="shared" si="0"/>
        <v>4</v>
      </c>
      <c r="C27" t="str">
        <f t="shared" si="1"/>
        <v>500</v>
      </c>
      <c r="D27" t="str">
        <f t="shared" si="2"/>
        <v>2.98</v>
      </c>
    </row>
    <row r="28" spans="1:4" x14ac:dyDescent="0.35">
      <c r="A28" t="s">
        <v>146</v>
      </c>
      <c r="B28">
        <f t="shared" si="0"/>
        <v>4</v>
      </c>
      <c r="C28" t="str">
        <f t="shared" si="1"/>
        <v>600</v>
      </c>
      <c r="D28" t="str">
        <f t="shared" si="2"/>
        <v>2.68</v>
      </c>
    </row>
    <row r="29" spans="1:4" x14ac:dyDescent="0.35">
      <c r="A29" t="s">
        <v>147</v>
      </c>
      <c r="B29">
        <f t="shared" si="0"/>
        <v>4</v>
      </c>
      <c r="C29" t="str">
        <f t="shared" si="1"/>
        <v>700</v>
      </c>
      <c r="D29" t="str">
        <f t="shared" si="2"/>
        <v>2.45</v>
      </c>
    </row>
    <row r="30" spans="1:4" x14ac:dyDescent="0.35">
      <c r="A30" t="s">
        <v>148</v>
      </c>
      <c r="B30">
        <f t="shared" si="0"/>
        <v>4</v>
      </c>
      <c r="C30" t="str">
        <f t="shared" si="1"/>
        <v>800</v>
      </c>
      <c r="D30" t="str">
        <f t="shared" si="2"/>
        <v>2.26</v>
      </c>
    </row>
    <row r="31" spans="1:4" x14ac:dyDescent="0.35">
      <c r="A31" t="s">
        <v>149</v>
      </c>
      <c r="B31">
        <f t="shared" si="0"/>
        <v>4</v>
      </c>
      <c r="C31" t="str">
        <f t="shared" si="1"/>
        <v>900</v>
      </c>
      <c r="D31" t="str">
        <f t="shared" si="2"/>
        <v>2.11</v>
      </c>
    </row>
    <row r="32" spans="1:4" x14ac:dyDescent="0.35">
      <c r="A32" t="s">
        <v>150</v>
      </c>
      <c r="B32">
        <f t="shared" si="0"/>
        <v>5</v>
      </c>
      <c r="C32" t="str">
        <f t="shared" si="1"/>
        <v>1000</v>
      </c>
      <c r="D32" t="str">
        <f t="shared" si="2"/>
        <v>1.99</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832D15-F400-476E-B0DE-1738759F92C9}">
  <dimension ref="A2:D53"/>
  <sheetViews>
    <sheetView workbookViewId="0">
      <selection activeCell="B1" sqref="B1:D1048576"/>
    </sheetView>
  </sheetViews>
  <sheetFormatPr defaultRowHeight="14.5" x14ac:dyDescent="0.35"/>
  <sheetData>
    <row r="2" spans="1:4" x14ac:dyDescent="0.35">
      <c r="A2" t="s">
        <v>151</v>
      </c>
      <c r="B2">
        <f>FIND(" ", A2)</f>
        <v>5</v>
      </c>
      <c r="C2" t="str">
        <f>LEFT(A2, B2-1)</f>
        <v>0.01</v>
      </c>
      <c r="D2" t="str">
        <f xml:space="preserve"> RIGHT(A2, LEN(A2)-B2)</f>
        <v>182</v>
      </c>
    </row>
    <row r="3" spans="1:4" x14ac:dyDescent="0.35">
      <c r="A3" t="s">
        <v>152</v>
      </c>
      <c r="B3">
        <f t="shared" ref="B3:B53" si="0">FIND(" ", A3)</f>
        <v>6</v>
      </c>
      <c r="C3" t="str">
        <f t="shared" ref="C3:C53" si="1">LEFT(A3, B3-1)</f>
        <v>0.015</v>
      </c>
      <c r="D3" t="str">
        <f t="shared" ref="D3:D53" si="2" xml:space="preserve"> RIGHT(A3, LEN(A3)-B3)</f>
        <v>148</v>
      </c>
    </row>
    <row r="4" spans="1:4" x14ac:dyDescent="0.35">
      <c r="A4" t="s">
        <v>153</v>
      </c>
      <c r="B4">
        <f t="shared" si="0"/>
        <v>5</v>
      </c>
      <c r="C4" t="str">
        <f t="shared" si="1"/>
        <v>0.02</v>
      </c>
      <c r="D4" t="str">
        <f t="shared" si="2"/>
        <v>128</v>
      </c>
    </row>
    <row r="5" spans="1:4" x14ac:dyDescent="0.35">
      <c r="A5" t="s">
        <v>154</v>
      </c>
      <c r="B5">
        <f t="shared" si="0"/>
        <v>5</v>
      </c>
      <c r="C5" t="str">
        <f t="shared" si="1"/>
        <v>0.03</v>
      </c>
      <c r="D5" t="str">
        <f t="shared" si="2"/>
        <v>104</v>
      </c>
    </row>
    <row r="6" spans="1:4" x14ac:dyDescent="0.35">
      <c r="A6" t="s">
        <v>155</v>
      </c>
      <c r="B6">
        <f t="shared" si="0"/>
        <v>5</v>
      </c>
      <c r="C6" t="str">
        <f t="shared" si="1"/>
        <v>0.04</v>
      </c>
      <c r="D6" t="str">
        <f t="shared" si="2"/>
        <v>90.0</v>
      </c>
    </row>
    <row r="7" spans="1:4" x14ac:dyDescent="0.35">
      <c r="A7" t="s">
        <v>156</v>
      </c>
      <c r="B7">
        <f t="shared" si="0"/>
        <v>5</v>
      </c>
      <c r="C7" t="str">
        <f t="shared" si="1"/>
        <v>0.05</v>
      </c>
      <c r="D7" t="str">
        <f t="shared" si="2"/>
        <v>80.6</v>
      </c>
    </row>
    <row r="8" spans="1:4" x14ac:dyDescent="0.35">
      <c r="A8" t="s">
        <v>157</v>
      </c>
      <c r="B8">
        <f t="shared" si="0"/>
        <v>5</v>
      </c>
      <c r="C8" t="str">
        <f t="shared" si="1"/>
        <v>0.06</v>
      </c>
      <c r="D8" t="str">
        <f t="shared" si="2"/>
        <v>73.2</v>
      </c>
    </row>
    <row r="9" spans="1:4" x14ac:dyDescent="0.35">
      <c r="A9" t="s">
        <v>158</v>
      </c>
      <c r="B9">
        <f t="shared" si="0"/>
        <v>5</v>
      </c>
      <c r="C9" t="str">
        <f t="shared" si="1"/>
        <v>0.07</v>
      </c>
      <c r="D9" t="str">
        <f t="shared" si="2"/>
        <v>66.8</v>
      </c>
    </row>
    <row r="10" spans="1:4" x14ac:dyDescent="0.35">
      <c r="A10" t="s">
        <v>159</v>
      </c>
      <c r="B10">
        <f t="shared" si="0"/>
        <v>5</v>
      </c>
      <c r="C10" t="str">
        <f t="shared" si="1"/>
        <v>0.08</v>
      </c>
      <c r="D10" t="str">
        <f t="shared" si="2"/>
        <v>61.9</v>
      </c>
    </row>
    <row r="11" spans="1:4" x14ac:dyDescent="0.35">
      <c r="A11" t="s">
        <v>160</v>
      </c>
      <c r="B11">
        <f t="shared" si="0"/>
        <v>5</v>
      </c>
      <c r="C11" t="str">
        <f t="shared" si="1"/>
        <v>0.09</v>
      </c>
      <c r="D11" t="str">
        <f t="shared" si="2"/>
        <v>56.8</v>
      </c>
    </row>
    <row r="12" spans="1:4" x14ac:dyDescent="0.35">
      <c r="A12" t="s">
        <v>161</v>
      </c>
      <c r="B12">
        <f t="shared" si="0"/>
        <v>4</v>
      </c>
      <c r="C12" t="str">
        <f t="shared" si="1"/>
        <v>0.1</v>
      </c>
      <c r="D12" t="str">
        <f t="shared" si="2"/>
        <v>53.6</v>
      </c>
    </row>
    <row r="13" spans="1:4" x14ac:dyDescent="0.35">
      <c r="A13" t="s">
        <v>162</v>
      </c>
      <c r="B13">
        <f t="shared" si="0"/>
        <v>5</v>
      </c>
      <c r="C13" t="str">
        <f t="shared" si="1"/>
        <v>0.12</v>
      </c>
      <c r="D13" t="str">
        <f t="shared" si="2"/>
        <v>46.4</v>
      </c>
    </row>
    <row r="14" spans="1:4" x14ac:dyDescent="0.35">
      <c r="A14" t="s">
        <v>163</v>
      </c>
      <c r="B14">
        <f t="shared" si="0"/>
        <v>5</v>
      </c>
      <c r="C14" t="str">
        <f t="shared" si="1"/>
        <v>0.15</v>
      </c>
      <c r="D14" t="str">
        <f t="shared" si="2"/>
        <v>37.2</v>
      </c>
    </row>
    <row r="15" spans="1:4" x14ac:dyDescent="0.35">
      <c r="A15" t="s">
        <v>164</v>
      </c>
      <c r="B15">
        <f t="shared" si="0"/>
        <v>5</v>
      </c>
      <c r="C15" t="str">
        <f t="shared" si="1"/>
        <v>0.18</v>
      </c>
      <c r="D15" t="str">
        <f t="shared" si="2"/>
        <v>30.1</v>
      </c>
    </row>
    <row r="16" spans="1:4" x14ac:dyDescent="0.35">
      <c r="A16" t="s">
        <v>165</v>
      </c>
      <c r="B16">
        <f t="shared" si="0"/>
        <v>4</v>
      </c>
      <c r="C16" t="str">
        <f t="shared" si="1"/>
        <v>0.2</v>
      </c>
      <c r="D16" t="str">
        <f t="shared" si="2"/>
        <v>26.2</v>
      </c>
    </row>
    <row r="17" spans="1:4" x14ac:dyDescent="0.35">
      <c r="A17" t="s">
        <v>166</v>
      </c>
      <c r="B17">
        <f t="shared" si="0"/>
        <v>5</v>
      </c>
      <c r="C17" t="str">
        <f t="shared" si="1"/>
        <v>0.25</v>
      </c>
      <c r="D17" t="str">
        <f t="shared" si="2"/>
        <v>19.8</v>
      </c>
    </row>
    <row r="18" spans="1:4" x14ac:dyDescent="0.35">
      <c r="A18" t="s">
        <v>167</v>
      </c>
      <c r="B18">
        <f t="shared" si="0"/>
        <v>4</v>
      </c>
      <c r="C18" t="str">
        <f t="shared" si="1"/>
        <v>0.3</v>
      </c>
      <c r="D18" t="str">
        <f t="shared" si="2"/>
        <v>15.05</v>
      </c>
    </row>
    <row r="19" spans="1:4" x14ac:dyDescent="0.35">
      <c r="A19" t="s">
        <v>168</v>
      </c>
      <c r="B19">
        <f t="shared" si="0"/>
        <v>4</v>
      </c>
      <c r="C19" t="str">
        <f t="shared" si="1"/>
        <v>0.4</v>
      </c>
      <c r="D19" t="str">
        <f t="shared" si="2"/>
        <v>10.48</v>
      </c>
    </row>
    <row r="20" spans="1:4" x14ac:dyDescent="0.35">
      <c r="A20" t="s">
        <v>169</v>
      </c>
      <c r="B20">
        <f t="shared" si="0"/>
        <v>4</v>
      </c>
      <c r="C20" t="str">
        <f t="shared" si="1"/>
        <v>0.5</v>
      </c>
      <c r="D20" t="str">
        <f t="shared" si="2"/>
        <v>8.09</v>
      </c>
    </row>
    <row r="21" spans="1:4" x14ac:dyDescent="0.35">
      <c r="A21" t="s">
        <v>170</v>
      </c>
      <c r="B21">
        <f t="shared" si="0"/>
        <v>4</v>
      </c>
      <c r="C21" t="str">
        <f t="shared" si="1"/>
        <v>0.6</v>
      </c>
      <c r="D21" t="str">
        <f t="shared" si="2"/>
        <v>6.77</v>
      </c>
    </row>
    <row r="22" spans="1:4" x14ac:dyDescent="0.35">
      <c r="A22" t="s">
        <v>171</v>
      </c>
      <c r="B22">
        <f t="shared" si="0"/>
        <v>4</v>
      </c>
      <c r="C22" t="str">
        <f t="shared" si="1"/>
        <v>0.7</v>
      </c>
      <c r="D22" t="str">
        <f t="shared" si="2"/>
        <v>5.69</v>
      </c>
    </row>
    <row r="23" spans="1:4" x14ac:dyDescent="0.35">
      <c r="A23" t="s">
        <v>172</v>
      </c>
      <c r="B23">
        <f t="shared" si="0"/>
        <v>4</v>
      </c>
      <c r="C23" t="str">
        <f t="shared" si="1"/>
        <v>0.8</v>
      </c>
      <c r="D23" t="str">
        <f t="shared" si="2"/>
        <v>5.18</v>
      </c>
    </row>
    <row r="24" spans="1:4" x14ac:dyDescent="0.35">
      <c r="A24" t="s">
        <v>173</v>
      </c>
      <c r="B24">
        <f t="shared" si="0"/>
        <v>4</v>
      </c>
      <c r="C24" t="str">
        <f t="shared" si="1"/>
        <v>0.9</v>
      </c>
      <c r="D24" t="str">
        <f t="shared" si="2"/>
        <v>4.69</v>
      </c>
    </row>
    <row r="25" spans="1:4" x14ac:dyDescent="0.35">
      <c r="A25" t="s">
        <v>174</v>
      </c>
      <c r="B25">
        <f t="shared" si="0"/>
        <v>2</v>
      </c>
      <c r="C25" t="str">
        <f t="shared" si="1"/>
        <v>1</v>
      </c>
      <c r="D25" t="str">
        <f t="shared" si="2"/>
        <v>4.25</v>
      </c>
    </row>
    <row r="26" spans="1:4" x14ac:dyDescent="0.35">
      <c r="A26" t="s">
        <v>175</v>
      </c>
      <c r="B26">
        <f t="shared" si="0"/>
        <v>4</v>
      </c>
      <c r="C26" t="str">
        <f t="shared" si="1"/>
        <v>1.2</v>
      </c>
      <c r="D26" t="str">
        <f t="shared" si="2"/>
        <v>3.59</v>
      </c>
    </row>
    <row r="27" spans="1:4" x14ac:dyDescent="0.35">
      <c r="A27" t="s">
        <v>176</v>
      </c>
      <c r="B27">
        <f t="shared" si="0"/>
        <v>4</v>
      </c>
      <c r="C27" t="str">
        <f t="shared" si="1"/>
        <v>1.5</v>
      </c>
      <c r="D27" t="str">
        <f t="shared" si="2"/>
        <v>3.24</v>
      </c>
    </row>
    <row r="28" spans="1:4" x14ac:dyDescent="0.35">
      <c r="A28" t="s">
        <v>177</v>
      </c>
      <c r="B28">
        <f t="shared" si="0"/>
        <v>4</v>
      </c>
      <c r="C28" t="str">
        <f t="shared" si="1"/>
        <v>1.8</v>
      </c>
      <c r="D28" t="str">
        <f t="shared" si="2"/>
        <v>3.24</v>
      </c>
    </row>
    <row r="29" spans="1:4" x14ac:dyDescent="0.35">
      <c r="A29" t="s">
        <v>178</v>
      </c>
      <c r="B29">
        <f t="shared" si="0"/>
        <v>2</v>
      </c>
      <c r="C29" t="str">
        <f t="shared" si="1"/>
        <v>2</v>
      </c>
      <c r="D29" t="str">
        <f t="shared" si="2"/>
        <v>3.39</v>
      </c>
    </row>
    <row r="30" spans="1:4" x14ac:dyDescent="0.35">
      <c r="A30" t="s">
        <v>179</v>
      </c>
      <c r="B30">
        <f t="shared" si="0"/>
        <v>4</v>
      </c>
      <c r="C30" t="str">
        <f t="shared" si="1"/>
        <v>2.5</v>
      </c>
      <c r="D30" t="str">
        <f t="shared" si="2"/>
        <v>3.91</v>
      </c>
    </row>
    <row r="31" spans="1:4" x14ac:dyDescent="0.35">
      <c r="A31" t="s">
        <v>180</v>
      </c>
      <c r="B31">
        <f t="shared" si="0"/>
        <v>2</v>
      </c>
      <c r="C31" t="str">
        <f t="shared" si="1"/>
        <v>3</v>
      </c>
      <c r="D31" t="str">
        <f t="shared" si="2"/>
        <v>4.67</v>
      </c>
    </row>
    <row r="32" spans="1:4" x14ac:dyDescent="0.35">
      <c r="A32" t="s">
        <v>181</v>
      </c>
      <c r="B32">
        <f t="shared" si="0"/>
        <v>4</v>
      </c>
      <c r="C32" t="str">
        <f t="shared" si="1"/>
        <v>3.5</v>
      </c>
      <c r="D32" t="str">
        <f t="shared" si="2"/>
        <v>5.64</v>
      </c>
    </row>
    <row r="33" spans="1:4" x14ac:dyDescent="0.35">
      <c r="A33" t="s">
        <v>182</v>
      </c>
      <c r="B33">
        <f t="shared" si="0"/>
        <v>2</v>
      </c>
      <c r="C33" t="str">
        <f t="shared" si="1"/>
        <v>4</v>
      </c>
      <c r="D33" t="str">
        <f t="shared" si="2"/>
        <v>5.79</v>
      </c>
    </row>
    <row r="34" spans="1:4" x14ac:dyDescent="0.35">
      <c r="A34" t="s">
        <v>183</v>
      </c>
      <c r="B34">
        <f t="shared" si="0"/>
        <v>4</v>
      </c>
      <c r="C34" t="str">
        <f t="shared" si="1"/>
        <v>4.5</v>
      </c>
      <c r="D34" t="str">
        <f t="shared" si="2"/>
        <v>5.02</v>
      </c>
    </row>
    <row r="35" spans="1:4" x14ac:dyDescent="0.35">
      <c r="A35" t="s">
        <v>184</v>
      </c>
      <c r="B35">
        <f t="shared" si="0"/>
        <v>2</v>
      </c>
      <c r="C35" t="str">
        <f t="shared" si="1"/>
        <v>5</v>
      </c>
      <c r="D35" t="str">
        <f t="shared" si="2"/>
        <v>4.58</v>
      </c>
    </row>
    <row r="36" spans="1:4" x14ac:dyDescent="0.35">
      <c r="A36" t="s">
        <v>185</v>
      </c>
      <c r="B36">
        <f t="shared" si="0"/>
        <v>2</v>
      </c>
      <c r="C36" t="str">
        <f t="shared" si="1"/>
        <v>6</v>
      </c>
      <c r="D36" t="str">
        <f t="shared" si="2"/>
        <v>4.91</v>
      </c>
    </row>
    <row r="37" spans="1:4" x14ac:dyDescent="0.35">
      <c r="A37" t="s">
        <v>186</v>
      </c>
      <c r="B37">
        <f t="shared" si="0"/>
        <v>2</v>
      </c>
      <c r="C37" t="str">
        <f t="shared" si="1"/>
        <v>7</v>
      </c>
      <c r="D37" t="str">
        <f t="shared" si="2"/>
        <v>6.08</v>
      </c>
    </row>
    <row r="38" spans="1:4" x14ac:dyDescent="0.35">
      <c r="A38" t="s">
        <v>187</v>
      </c>
      <c r="B38">
        <f t="shared" si="0"/>
        <v>2</v>
      </c>
      <c r="C38" t="str">
        <f t="shared" si="1"/>
        <v>8</v>
      </c>
      <c r="D38" t="str">
        <f t="shared" si="2"/>
        <v>7.40</v>
      </c>
    </row>
    <row r="39" spans="1:4" x14ac:dyDescent="0.35">
      <c r="A39" t="s">
        <v>188</v>
      </c>
      <c r="B39">
        <f t="shared" si="0"/>
        <v>2</v>
      </c>
      <c r="C39" t="str">
        <f t="shared" si="1"/>
        <v>9</v>
      </c>
      <c r="D39" t="str">
        <f t="shared" si="2"/>
        <v>8.09</v>
      </c>
    </row>
    <row r="40" spans="1:4" x14ac:dyDescent="0.35">
      <c r="A40" t="s">
        <v>189</v>
      </c>
      <c r="B40">
        <f t="shared" si="0"/>
        <v>3</v>
      </c>
      <c r="C40" t="str">
        <f t="shared" si="1"/>
        <v>10</v>
      </c>
      <c r="D40" t="str">
        <f t="shared" si="2"/>
        <v>9.02</v>
      </c>
    </row>
    <row r="41" spans="1:4" x14ac:dyDescent="0.35">
      <c r="A41" t="s">
        <v>190</v>
      </c>
      <c r="B41">
        <f t="shared" si="0"/>
        <v>3</v>
      </c>
      <c r="C41" t="str">
        <f t="shared" si="1"/>
        <v>12</v>
      </c>
      <c r="D41" t="str">
        <f t="shared" si="2"/>
        <v>10.00</v>
      </c>
    </row>
    <row r="42" spans="1:4" x14ac:dyDescent="0.35">
      <c r="A42" t="s">
        <v>191</v>
      </c>
      <c r="B42">
        <f t="shared" si="0"/>
        <v>3</v>
      </c>
      <c r="C42" t="str">
        <f t="shared" si="1"/>
        <v>15</v>
      </c>
      <c r="D42" t="str">
        <f t="shared" si="2"/>
        <v>10.86</v>
      </c>
    </row>
    <row r="43" spans="1:4" x14ac:dyDescent="0.35">
      <c r="A43" t="s">
        <v>192</v>
      </c>
      <c r="B43">
        <f t="shared" si="0"/>
        <v>3</v>
      </c>
      <c r="C43" t="str">
        <f t="shared" si="1"/>
        <v>18</v>
      </c>
      <c r="D43" t="str">
        <f t="shared" si="2"/>
        <v>10.76</v>
      </c>
    </row>
    <row r="44" spans="1:4" x14ac:dyDescent="0.35">
      <c r="A44" t="s">
        <v>193</v>
      </c>
      <c r="B44">
        <f t="shared" si="0"/>
        <v>3</v>
      </c>
      <c r="C44" t="str">
        <f t="shared" si="1"/>
        <v>20</v>
      </c>
      <c r="D44" t="str">
        <f t="shared" si="2"/>
        <v>10.17</v>
      </c>
    </row>
    <row r="45" spans="1:4" x14ac:dyDescent="0.35">
      <c r="A45" t="s">
        <v>194</v>
      </c>
      <c r="B45">
        <f t="shared" si="0"/>
        <v>3</v>
      </c>
      <c r="C45" t="str">
        <f t="shared" si="1"/>
        <v>25</v>
      </c>
      <c r="D45" t="str">
        <f t="shared" si="2"/>
        <v>8.74</v>
      </c>
    </row>
    <row r="46" spans="1:4" x14ac:dyDescent="0.35">
      <c r="A46" t="s">
        <v>195</v>
      </c>
      <c r="B46">
        <f t="shared" si="0"/>
        <v>3</v>
      </c>
      <c r="C46" t="str">
        <f t="shared" si="1"/>
        <v>30</v>
      </c>
      <c r="D46" t="str">
        <f t="shared" si="2"/>
        <v>7.51</v>
      </c>
    </row>
    <row r="47" spans="1:4" x14ac:dyDescent="0.35">
      <c r="A47" t="s">
        <v>196</v>
      </c>
      <c r="B47">
        <f t="shared" si="0"/>
        <v>3</v>
      </c>
      <c r="C47" t="str">
        <f t="shared" si="1"/>
        <v>40</v>
      </c>
      <c r="D47" t="str">
        <f t="shared" si="2"/>
        <v>5.84</v>
      </c>
    </row>
    <row r="48" spans="1:4" x14ac:dyDescent="0.35">
      <c r="A48" t="s">
        <v>197</v>
      </c>
      <c r="B48">
        <f t="shared" si="0"/>
        <v>3</v>
      </c>
      <c r="C48" t="str">
        <f t="shared" si="1"/>
        <v>50</v>
      </c>
      <c r="D48" t="str">
        <f t="shared" si="2"/>
        <v>4.79</v>
      </c>
    </row>
    <row r="49" spans="1:4" x14ac:dyDescent="0.35">
      <c r="A49" t="s">
        <v>198</v>
      </c>
      <c r="B49">
        <f t="shared" si="0"/>
        <v>3</v>
      </c>
      <c r="C49" t="str">
        <f t="shared" si="1"/>
        <v>60</v>
      </c>
      <c r="D49" t="str">
        <f t="shared" si="2"/>
        <v>4.15</v>
      </c>
    </row>
    <row r="50" spans="1:4" x14ac:dyDescent="0.35">
      <c r="A50" t="s">
        <v>199</v>
      </c>
      <c r="B50">
        <f t="shared" si="0"/>
        <v>3</v>
      </c>
      <c r="C50" t="str">
        <f t="shared" si="1"/>
        <v>70</v>
      </c>
      <c r="D50" t="str">
        <f t="shared" si="2"/>
        <v>3.61</v>
      </c>
    </row>
    <row r="51" spans="1:4" x14ac:dyDescent="0.35">
      <c r="A51" t="s">
        <v>200</v>
      </c>
      <c r="B51">
        <f t="shared" si="0"/>
        <v>3</v>
      </c>
      <c r="C51" t="str">
        <f t="shared" si="1"/>
        <v>80</v>
      </c>
      <c r="D51" t="str">
        <f t="shared" si="2"/>
        <v>3.19</v>
      </c>
    </row>
    <row r="52" spans="1:4" x14ac:dyDescent="0.35">
      <c r="A52" t="s">
        <v>201</v>
      </c>
      <c r="B52">
        <f t="shared" si="0"/>
        <v>3</v>
      </c>
      <c r="C52" t="str">
        <f t="shared" si="1"/>
        <v>90</v>
      </c>
      <c r="D52" t="str">
        <f t="shared" si="2"/>
        <v>2.83</v>
      </c>
    </row>
    <row r="53" spans="1:4" x14ac:dyDescent="0.35">
      <c r="A53" t="s">
        <v>202</v>
      </c>
      <c r="B53">
        <f t="shared" si="0"/>
        <v>4</v>
      </c>
      <c r="C53" t="str">
        <f t="shared" si="1"/>
        <v>100</v>
      </c>
      <c r="D53" t="str">
        <f t="shared" si="2"/>
        <v>2.53</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5FCF769-AB94-4548-B0E6-BFF4078DE97F}">
  <dimension ref="A4:H14"/>
  <sheetViews>
    <sheetView workbookViewId="0">
      <selection activeCell="B4" sqref="B4:H14"/>
    </sheetView>
  </sheetViews>
  <sheetFormatPr defaultRowHeight="14.5" x14ac:dyDescent="0.35"/>
  <cols>
    <col min="1" max="1" width="22.26953125" customWidth="1"/>
  </cols>
  <sheetData>
    <row r="4" spans="1:8" x14ac:dyDescent="0.35">
      <c r="A4" t="s">
        <v>213</v>
      </c>
      <c r="B4">
        <f>FIND(" ", A4)</f>
        <v>4</v>
      </c>
      <c r="C4">
        <f xml:space="preserve"> FIND(" ", A4, B4+1)</f>
        <v>10</v>
      </c>
      <c r="D4">
        <f xml:space="preserve"> FIND(" ", A4, C4+1)</f>
        <v>16</v>
      </c>
      <c r="E4" t="str">
        <f>LEFT(A4, B4-1)</f>
        <v>1.5</v>
      </c>
      <c r="F4" t="str">
        <f xml:space="preserve"> RIGHT(LEFT($A4,C4-1),C4-B4-1)</f>
        <v>0.277</v>
      </c>
      <c r="G4" t="str">
        <f xml:space="preserve"> RIGHT(LEFT($A4,D4-1),D4-C4-1)</f>
        <v>0.378</v>
      </c>
      <c r="H4" t="str">
        <f xml:space="preserve"> RIGHT($A4,LEN(A4)-D4)</f>
        <v>0.639</v>
      </c>
    </row>
    <row r="5" spans="1:8" x14ac:dyDescent="0.35">
      <c r="A5" t="s">
        <v>212</v>
      </c>
      <c r="B5">
        <f>FIND(" ", A5)</f>
        <v>2</v>
      </c>
      <c r="C5">
        <f xml:space="preserve"> FIND(" ", A5, B5+1)</f>
        <v>8</v>
      </c>
      <c r="D5">
        <f xml:space="preserve"> FIND(" ", A5, C5+1)</f>
        <v>14</v>
      </c>
      <c r="E5" t="str">
        <f t="shared" ref="E5:E14" si="0">LEFT(A5, B5-1)</f>
        <v>2</v>
      </c>
      <c r="F5" t="str">
        <f t="shared" ref="F5:G14" si="1" xml:space="preserve"> RIGHT(LEFT(A5,C5-1),C5-B5-1)</f>
        <v>0.420</v>
      </c>
      <c r="G5" t="str">
        <f t="shared" ref="G5:G14" si="2" xml:space="preserve"> RIGHT(LEFT($A5,D5-1),D5-C5-1)</f>
        <v>0.350</v>
      </c>
      <c r="H5" t="str">
        <f t="shared" ref="H5:H14" si="3" xml:space="preserve"> RIGHT($A5,LEN(A5)-D5)</f>
        <v>0.464</v>
      </c>
    </row>
    <row r="6" spans="1:8" x14ac:dyDescent="0.35">
      <c r="A6" t="s">
        <v>211</v>
      </c>
      <c r="B6">
        <f>FIND(" ", A6)</f>
        <v>2</v>
      </c>
      <c r="C6">
        <f xml:space="preserve"> FIND(" ", A6, B6+1)</f>
        <v>8</v>
      </c>
      <c r="D6">
        <f xml:space="preserve"> FIND(" ", A6, C6+1)</f>
        <v>14</v>
      </c>
      <c r="E6" t="str">
        <f t="shared" si="0"/>
        <v>3</v>
      </c>
      <c r="F6" t="str">
        <f t="shared" si="1"/>
        <v>0.878</v>
      </c>
      <c r="G6" t="str">
        <f t="shared" si="2"/>
        <v>0.734</v>
      </c>
      <c r="H6" t="str">
        <f t="shared" si="3"/>
        <v>0.417</v>
      </c>
    </row>
    <row r="7" spans="1:8" x14ac:dyDescent="0.35">
      <c r="A7" t="s">
        <v>210</v>
      </c>
      <c r="B7">
        <f>FIND(" ", A7)</f>
        <v>4</v>
      </c>
      <c r="C7">
        <f xml:space="preserve"> FIND(" ", A7, B7+1)</f>
        <v>9</v>
      </c>
      <c r="D7">
        <f xml:space="preserve"> FIND(" ", A7, C7+1)</f>
        <v>14</v>
      </c>
      <c r="E7" t="str">
        <f t="shared" si="0"/>
        <v>3.5</v>
      </c>
      <c r="F7" t="str">
        <f t="shared" si="1"/>
        <v>1.25</v>
      </c>
      <c r="G7" t="str">
        <f t="shared" si="2"/>
        <v>1.51</v>
      </c>
      <c r="H7" t="str">
        <f t="shared" si="3"/>
        <v>0.456</v>
      </c>
    </row>
    <row r="8" spans="1:8" x14ac:dyDescent="0.35">
      <c r="A8" t="s">
        <v>209</v>
      </c>
      <c r="B8">
        <f>FIND(" ", A8)</f>
        <v>4</v>
      </c>
      <c r="C8">
        <f xml:space="preserve"> FIND(" ", A8, B8+1)</f>
        <v>9</v>
      </c>
      <c r="D8">
        <f xml:space="preserve"> FIND(" ", A8, C8+1)</f>
        <v>14</v>
      </c>
      <c r="E8" t="str">
        <f t="shared" si="0"/>
        <v>3.8</v>
      </c>
      <c r="F8" t="str">
        <f t="shared" si="1"/>
        <v>1.29</v>
      </c>
      <c r="G8" t="str">
        <f t="shared" si="2"/>
        <v>1.96</v>
      </c>
      <c r="H8" t="str">
        <f t="shared" si="3"/>
        <v>0.443</v>
      </c>
    </row>
    <row r="9" spans="1:8" x14ac:dyDescent="0.35">
      <c r="A9" t="s">
        <v>208</v>
      </c>
      <c r="B9">
        <f>FIND(" ", A9)</f>
        <v>2</v>
      </c>
      <c r="C9">
        <f xml:space="preserve"> FIND(" ", A9, B9+1)</f>
        <v>7</v>
      </c>
      <c r="D9">
        <f xml:space="preserve"> FIND(" ", A9, C9+1)</f>
        <v>12</v>
      </c>
      <c r="E9" t="str">
        <f t="shared" si="0"/>
        <v>4</v>
      </c>
      <c r="F9" t="str">
        <f t="shared" si="1"/>
        <v>1.07</v>
      </c>
      <c r="G9" t="str">
        <f t="shared" si="2"/>
        <v>1.97</v>
      </c>
      <c r="H9" t="str">
        <f t="shared" si="3"/>
        <v>0.433</v>
      </c>
    </row>
    <row r="10" spans="1:8" x14ac:dyDescent="0.35">
      <c r="A10" t="s">
        <v>207</v>
      </c>
      <c r="B10">
        <f>FIND(" ", A10)</f>
        <v>4</v>
      </c>
      <c r="C10">
        <f xml:space="preserve"> FIND(" ", A10, B10+1)</f>
        <v>10</v>
      </c>
      <c r="D10">
        <f xml:space="preserve"> FIND(" ", A10, C10+1)</f>
        <v>15</v>
      </c>
      <c r="E10" t="str">
        <f t="shared" si="0"/>
        <v>4.5</v>
      </c>
      <c r="F10" t="str">
        <f t="shared" si="1"/>
        <v>0.526</v>
      </c>
      <c r="G10" t="str">
        <f t="shared" si="2"/>
        <v>1.42</v>
      </c>
      <c r="H10" t="str">
        <f t="shared" si="3"/>
        <v>0.356</v>
      </c>
    </row>
    <row r="11" spans="1:8" x14ac:dyDescent="0.35">
      <c r="A11" t="s">
        <v>206</v>
      </c>
      <c r="B11">
        <f>FIND(" ", A11)</f>
        <v>2</v>
      </c>
      <c r="C11">
        <f xml:space="preserve"> FIND(" ", A11, B11+1)</f>
        <v>8</v>
      </c>
      <c r="D11">
        <f xml:space="preserve"> FIND(" ", A11, C11+1)</f>
        <v>14</v>
      </c>
      <c r="E11" t="str">
        <f t="shared" si="0"/>
        <v>5</v>
      </c>
      <c r="F11" t="str">
        <f t="shared" si="1"/>
        <v>0.181</v>
      </c>
      <c r="G11" t="str">
        <f t="shared" si="2"/>
        <v>0.938</v>
      </c>
      <c r="H11" t="str">
        <f t="shared" si="3"/>
        <v>0.300</v>
      </c>
    </row>
    <row r="12" spans="1:8" x14ac:dyDescent="0.35">
      <c r="A12" t="s">
        <v>205</v>
      </c>
      <c r="B12">
        <f>FIND(" ", A12)</f>
        <v>2</v>
      </c>
      <c r="C12">
        <f xml:space="preserve"> FIND(" ", A12, B12+1)</f>
        <v>9</v>
      </c>
      <c r="D12">
        <f xml:space="preserve"> FIND(" ", A12, C12+1)</f>
        <v>15</v>
      </c>
      <c r="E12" t="str">
        <f t="shared" si="0"/>
        <v>6</v>
      </c>
      <c r="F12" t="str">
        <f t="shared" si="1"/>
        <v>0.0840</v>
      </c>
      <c r="G12" t="str">
        <f t="shared" si="2"/>
        <v>0.576</v>
      </c>
      <c r="H12" t="str">
        <f t="shared" si="3"/>
        <v>0.262</v>
      </c>
    </row>
    <row r="13" spans="1:8" x14ac:dyDescent="0.35">
      <c r="A13" t="s">
        <v>204</v>
      </c>
      <c r="B13">
        <f>FIND(" ", A13)</f>
        <v>3</v>
      </c>
      <c r="C13">
        <f xml:space="preserve"> FIND(" ", A13, B13+1)</f>
        <v>10</v>
      </c>
      <c r="D13">
        <f xml:space="preserve"> FIND(" ", A13, C13+1)</f>
        <v>16</v>
      </c>
      <c r="E13" t="str">
        <f t="shared" si="0"/>
        <v>15</v>
      </c>
      <c r="F13" t="str">
        <f t="shared" si="1"/>
        <v>0.0221</v>
      </c>
      <c r="G13" t="str">
        <f t="shared" si="2"/>
        <v>0.120</v>
      </c>
      <c r="H13" t="str">
        <f t="shared" si="3"/>
        <v>0.141</v>
      </c>
    </row>
    <row r="14" spans="1:8" x14ac:dyDescent="0.35">
      <c r="A14" t="s">
        <v>203</v>
      </c>
      <c r="B14">
        <f>FIND(" ", A14)</f>
        <v>3</v>
      </c>
      <c r="C14">
        <f xml:space="preserve"> FIND(" ", A14, B14+1)</f>
        <v>10</v>
      </c>
      <c r="D14">
        <f xml:space="preserve"> FIND(" ", A14, C14+1)</f>
        <v>16</v>
      </c>
      <c r="E14" t="str">
        <f t="shared" si="0"/>
        <v>30</v>
      </c>
      <c r="F14" t="str">
        <f t="shared" si="1"/>
        <v>0.0210</v>
      </c>
      <c r="G14" t="str">
        <f t="shared" si="2"/>
        <v>0.153</v>
      </c>
      <c r="H14" t="str">
        <f t="shared" si="3"/>
        <v>0.0815</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57A9B2A-636E-47B5-A2BD-C12CA08499D4}">
  <dimension ref="A1:F58"/>
  <sheetViews>
    <sheetView workbookViewId="0">
      <selection activeCell="B37" sqref="B37:E58"/>
    </sheetView>
  </sheetViews>
  <sheetFormatPr defaultRowHeight="14.5" x14ac:dyDescent="0.35"/>
  <cols>
    <col min="1" max="1" width="22.81640625" customWidth="1"/>
  </cols>
  <sheetData>
    <row r="1" spans="1:6" x14ac:dyDescent="0.35">
      <c r="A1" t="s">
        <v>214</v>
      </c>
      <c r="B1">
        <f>FIND(" ", A1)</f>
        <v>5</v>
      </c>
      <c r="C1">
        <f xml:space="preserve"> FIND(" ", A1, B1+1)</f>
        <v>11</v>
      </c>
      <c r="D1" t="str">
        <f>LEFT(A1, B1-1)</f>
        <v>14.5</v>
      </c>
      <c r="E1" t="str">
        <f xml:space="preserve"> RIGHT(LEFT($A1,C1-1),C1-B1-1)</f>
        <v>0.055</v>
      </c>
      <c r="F1" t="str">
        <f>RIGHT(A1,LEN(A1)-C1)</f>
        <v>0.055</v>
      </c>
    </row>
    <row r="2" spans="1:6" x14ac:dyDescent="0.35">
      <c r="A2" t="s">
        <v>215</v>
      </c>
      <c r="B2">
        <f>FIND(" ", A2)</f>
        <v>3</v>
      </c>
      <c r="C2">
        <f xml:space="preserve"> FIND(" ", A2, B2+1)</f>
        <v>9</v>
      </c>
      <c r="D2" t="str">
        <f>LEFT(A2, B2-1)</f>
        <v>15</v>
      </c>
      <c r="E2" t="str">
        <f xml:space="preserve"> RIGHT(LEFT(A2,C2-1),C2-B2-1)</f>
        <v>0.097</v>
      </c>
      <c r="F2" t="str">
        <f t="shared" ref="F2:F12" si="0">RIGHT(A2,LEN(A2)-C2)</f>
        <v>0.097</v>
      </c>
    </row>
    <row r="3" spans="1:6" x14ac:dyDescent="0.35">
      <c r="A3" t="s">
        <v>216</v>
      </c>
      <c r="B3">
        <f>FIND(" ", A3)</f>
        <v>5</v>
      </c>
      <c r="C3">
        <f xml:space="preserve"> FIND(" ", A3, B3+1)</f>
        <v>11</v>
      </c>
      <c r="D3" t="str">
        <f>LEFT(A3, B3-1)</f>
        <v>15.5</v>
      </c>
      <c r="E3" t="str">
        <f xml:space="preserve"> RIGHT(LEFT(A3,C3-1),C3-B3-1)</f>
        <v>0.135</v>
      </c>
      <c r="F3" t="str">
        <f t="shared" si="0"/>
        <v>0.135</v>
      </c>
    </row>
    <row r="4" spans="1:6" x14ac:dyDescent="0.35">
      <c r="A4" t="s">
        <v>217</v>
      </c>
      <c r="B4">
        <f>FIND(" ", A4)</f>
        <v>3</v>
      </c>
      <c r="C4">
        <f xml:space="preserve"> FIND(" ", A4, B4+1)</f>
        <v>9</v>
      </c>
      <c r="D4" t="str">
        <f>LEFT(A4, B4-1)</f>
        <v>16</v>
      </c>
      <c r="E4" t="str">
        <f xml:space="preserve"> RIGHT(LEFT(A4,C4-1),C4-B4-1)</f>
        <v>0.174</v>
      </c>
      <c r="F4" t="str">
        <f t="shared" si="0"/>
        <v>0.174</v>
      </c>
    </row>
    <row r="5" spans="1:6" x14ac:dyDescent="0.35">
      <c r="A5" t="s">
        <v>218</v>
      </c>
      <c r="B5">
        <f>FIND(" ", A5)</f>
        <v>5</v>
      </c>
      <c r="C5">
        <f xml:space="preserve"> FIND(" ", A5, B5+1)</f>
        <v>11</v>
      </c>
      <c r="D5" t="str">
        <f>LEFT(A5, B5-1)</f>
        <v>16.5</v>
      </c>
      <c r="E5" t="str">
        <f xml:space="preserve"> RIGHT(LEFT(A5,C5-1),C5-B5-1)</f>
        <v>0.215</v>
      </c>
      <c r="F5" t="str">
        <f t="shared" si="0"/>
        <v>0.215</v>
      </c>
    </row>
    <row r="6" spans="1:6" x14ac:dyDescent="0.35">
      <c r="A6" t="s">
        <v>219</v>
      </c>
      <c r="B6">
        <f>FIND(" ", A6)</f>
        <v>3</v>
      </c>
      <c r="C6">
        <f xml:space="preserve"> FIND(" ", A6, B6+1)</f>
        <v>9</v>
      </c>
      <c r="D6" t="str">
        <f>LEFT(A6, B6-1)</f>
        <v>17</v>
      </c>
      <c r="E6" t="str">
        <f xml:space="preserve"> RIGHT(LEFT(A6,C6-1),C6-B6-1)</f>
        <v>0.255</v>
      </c>
      <c r="F6" t="str">
        <f t="shared" si="0"/>
        <v>0.255</v>
      </c>
    </row>
    <row r="7" spans="1:6" x14ac:dyDescent="0.35">
      <c r="A7" t="s">
        <v>220</v>
      </c>
      <c r="B7">
        <f>FIND(" ", A7)</f>
        <v>5</v>
      </c>
      <c r="C7">
        <f xml:space="preserve"> FIND(" ", A7, B7+1)</f>
        <v>11</v>
      </c>
      <c r="D7" t="str">
        <f>LEFT(A7, B7-1)</f>
        <v>17.5</v>
      </c>
      <c r="E7" t="str">
        <f xml:space="preserve"> RIGHT(LEFT(A7,C7-1),C7-B7-1)</f>
        <v>0.293</v>
      </c>
      <c r="F7" t="str">
        <f t="shared" si="0"/>
        <v>0.293</v>
      </c>
    </row>
    <row r="8" spans="1:6" x14ac:dyDescent="0.35">
      <c r="A8" t="s">
        <v>221</v>
      </c>
      <c r="B8">
        <f>FIND(" ", A8)</f>
        <v>3</v>
      </c>
      <c r="C8">
        <f xml:space="preserve"> FIND(" ", A8, B8+1)</f>
        <v>9</v>
      </c>
      <c r="D8" t="str">
        <f>LEFT(A8, B8-1)</f>
        <v>18</v>
      </c>
      <c r="E8" t="str">
        <f xml:space="preserve"> RIGHT(LEFT(A8,C8-1),C8-B8-1)</f>
        <v>0.333</v>
      </c>
      <c r="F8" t="str">
        <f t="shared" si="0"/>
        <v>0.333</v>
      </c>
    </row>
    <row r="9" spans="1:6" x14ac:dyDescent="0.35">
      <c r="A9" t="s">
        <v>222</v>
      </c>
      <c r="B9">
        <f>FIND(" ", A9)</f>
        <v>5</v>
      </c>
      <c r="C9">
        <f xml:space="preserve"> FIND(" ", A9, B9+1)</f>
        <v>11</v>
      </c>
      <c r="D9" t="str">
        <f>LEFT(A9, B9-1)</f>
        <v>18.5</v>
      </c>
      <c r="E9" t="str">
        <f xml:space="preserve"> RIGHT(LEFT(A9,C9-1),C9-B9-1)</f>
        <v>0.373</v>
      </c>
      <c r="F9" t="str">
        <f t="shared" si="0"/>
        <v>0.373</v>
      </c>
    </row>
    <row r="10" spans="1:6" x14ac:dyDescent="0.35">
      <c r="A10" t="s">
        <v>223</v>
      </c>
      <c r="B10">
        <f>FIND(" ", A10)</f>
        <v>3</v>
      </c>
      <c r="C10">
        <f xml:space="preserve"> FIND(" ", A10, B10+1)</f>
        <v>9</v>
      </c>
      <c r="D10" t="str">
        <f>LEFT(A10, B10-1)</f>
        <v>19</v>
      </c>
      <c r="E10" t="str">
        <f xml:space="preserve"> RIGHT(LEFT(A10,C10-1),C10-B10-1)</f>
        <v>0.428</v>
      </c>
      <c r="F10" t="str">
        <f t="shared" si="0"/>
        <v>0.428</v>
      </c>
    </row>
    <row r="11" spans="1:6" x14ac:dyDescent="0.35">
      <c r="A11" t="s">
        <v>224</v>
      </c>
      <c r="B11">
        <f>FIND(" ", A11)</f>
        <v>5</v>
      </c>
      <c r="C11">
        <f xml:space="preserve"> FIND(" ", A11, B11+1)</f>
        <v>11</v>
      </c>
      <c r="D11" t="str">
        <f>LEFT(A11, B11-1)</f>
        <v>19.5</v>
      </c>
      <c r="E11" t="str">
        <f xml:space="preserve"> RIGHT(LEFT(A11,C11-1),C11-B11-1)</f>
        <v>0.452</v>
      </c>
      <c r="F11" t="str">
        <f t="shared" si="0"/>
        <v>0.452</v>
      </c>
    </row>
    <row r="12" spans="1:6" x14ac:dyDescent="0.35">
      <c r="A12" t="s">
        <v>225</v>
      </c>
      <c r="B12">
        <f t="shared" ref="B12:B58" si="1">FIND(" ", A12)</f>
        <v>3</v>
      </c>
      <c r="C12">
        <f t="shared" ref="C12:C58" si="2" xml:space="preserve"> FIND(" ", A12, B12+1)</f>
        <v>9</v>
      </c>
      <c r="D12" t="str">
        <f t="shared" ref="D12:D58" si="3">LEFT(A12, B12-1)</f>
        <v>21</v>
      </c>
      <c r="E12" t="str">
        <f t="shared" ref="E12:E58" si="4" xml:space="preserve"> RIGHT(LEFT($A12,C12-1),C12-B12-1)</f>
        <v>0.577</v>
      </c>
      <c r="F12" t="str">
        <f t="shared" si="0"/>
        <v>0.577</v>
      </c>
    </row>
    <row r="13" spans="1:6" x14ac:dyDescent="0.35">
      <c r="A13" t="s">
        <v>226</v>
      </c>
      <c r="B13">
        <f t="shared" si="1"/>
        <v>5</v>
      </c>
      <c r="C13">
        <f t="shared" si="2"/>
        <v>11</v>
      </c>
      <c r="D13" t="str">
        <f t="shared" si="3"/>
        <v>21.5</v>
      </c>
      <c r="E13" t="str">
        <f t="shared" ref="E13:E58" si="5" xml:space="preserve"> RIGHT(LEFT(A13,C13-1),C13-B13-1)</f>
        <v>0.623</v>
      </c>
      <c r="F13" t="str">
        <f t="shared" ref="F13:F58" si="6">RIGHT(A13,LEN(A13)-C13)</f>
        <v>0.623</v>
      </c>
    </row>
    <row r="14" spans="1:6" x14ac:dyDescent="0.35">
      <c r="A14" t="s">
        <v>227</v>
      </c>
      <c r="B14">
        <f t="shared" si="1"/>
        <v>3</v>
      </c>
      <c r="C14">
        <f t="shared" si="2"/>
        <v>9</v>
      </c>
      <c r="D14" t="str">
        <f t="shared" si="3"/>
        <v>22</v>
      </c>
      <c r="E14" t="str">
        <f t="shared" si="5"/>
        <v>0.676</v>
      </c>
      <c r="F14" t="str">
        <f t="shared" si="6"/>
        <v>0.676</v>
      </c>
    </row>
    <row r="15" spans="1:6" x14ac:dyDescent="0.35">
      <c r="A15" t="s">
        <v>228</v>
      </c>
      <c r="B15">
        <f t="shared" si="1"/>
        <v>5</v>
      </c>
      <c r="C15">
        <f t="shared" si="2"/>
        <v>11</v>
      </c>
      <c r="D15" t="str">
        <f t="shared" si="3"/>
        <v>22.5</v>
      </c>
      <c r="E15" t="str">
        <f t="shared" si="5"/>
        <v>0.727</v>
      </c>
      <c r="F15" t="str">
        <f t="shared" si="6"/>
        <v>0.727</v>
      </c>
    </row>
    <row r="16" spans="1:6" x14ac:dyDescent="0.35">
      <c r="A16" t="s">
        <v>229</v>
      </c>
      <c r="B16">
        <f t="shared" si="1"/>
        <v>3</v>
      </c>
      <c r="C16">
        <f t="shared" si="2"/>
        <v>9</v>
      </c>
      <c r="D16" t="str">
        <f t="shared" si="3"/>
        <v>23</v>
      </c>
      <c r="E16" t="str">
        <f t="shared" si="5"/>
        <v>0.777</v>
      </c>
      <c r="F16" t="str">
        <f t="shared" si="6"/>
        <v>0.777</v>
      </c>
    </row>
    <row r="17" spans="1:6" x14ac:dyDescent="0.35">
      <c r="A17" t="s">
        <v>230</v>
      </c>
      <c r="B17">
        <f t="shared" si="1"/>
        <v>5</v>
      </c>
      <c r="C17">
        <f t="shared" si="2"/>
        <v>11</v>
      </c>
      <c r="D17" t="str">
        <f t="shared" si="3"/>
        <v>23.5</v>
      </c>
      <c r="E17" t="str">
        <f t="shared" si="5"/>
        <v>0.828</v>
      </c>
      <c r="F17" t="str">
        <f t="shared" si="6"/>
        <v>0.828</v>
      </c>
    </row>
    <row r="18" spans="1:6" x14ac:dyDescent="0.35">
      <c r="A18" t="s">
        <v>231</v>
      </c>
      <c r="B18">
        <f t="shared" si="1"/>
        <v>3</v>
      </c>
      <c r="C18">
        <f t="shared" si="2"/>
        <v>9</v>
      </c>
      <c r="D18" t="str">
        <f t="shared" si="3"/>
        <v>24</v>
      </c>
      <c r="E18" t="str">
        <f t="shared" si="5"/>
        <v>0.880</v>
      </c>
      <c r="F18" t="str">
        <f t="shared" si="6"/>
        <v>0.880</v>
      </c>
    </row>
    <row r="19" spans="1:6" x14ac:dyDescent="0.35">
      <c r="A19" t="s">
        <v>232</v>
      </c>
      <c r="B19">
        <f t="shared" si="1"/>
        <v>3</v>
      </c>
      <c r="C19">
        <f t="shared" si="2"/>
        <v>9</v>
      </c>
      <c r="D19" t="str">
        <f t="shared" si="3"/>
        <v>25</v>
      </c>
      <c r="E19" t="str">
        <f t="shared" si="5"/>
        <v>0.969</v>
      </c>
      <c r="F19" t="str">
        <f t="shared" si="6"/>
        <v>1.04</v>
      </c>
    </row>
    <row r="20" spans="1:6" x14ac:dyDescent="0.35">
      <c r="A20" t="s">
        <v>233</v>
      </c>
      <c r="B20">
        <f t="shared" si="1"/>
        <v>3</v>
      </c>
      <c r="C20">
        <f t="shared" si="2"/>
        <v>8</v>
      </c>
      <c r="D20" t="str">
        <f t="shared" si="3"/>
        <v>30</v>
      </c>
      <c r="E20" t="str">
        <f t="shared" si="5"/>
        <v>1.34</v>
      </c>
      <c r="F20" t="str">
        <f t="shared" si="6"/>
        <v>1.58</v>
      </c>
    </row>
    <row r="21" spans="1:6" x14ac:dyDescent="0.35">
      <c r="A21" t="s">
        <v>234</v>
      </c>
      <c r="B21">
        <f t="shared" si="1"/>
        <v>3</v>
      </c>
      <c r="C21">
        <f t="shared" si="2"/>
        <v>8</v>
      </c>
      <c r="D21" t="str">
        <f t="shared" si="3"/>
        <v>35</v>
      </c>
      <c r="E21" t="str">
        <f t="shared" si="5"/>
        <v>1.53</v>
      </c>
      <c r="F21" t="str">
        <f t="shared" si="6"/>
        <v>1.95</v>
      </c>
    </row>
    <row r="22" spans="1:6" x14ac:dyDescent="0.35">
      <c r="A22" t="s">
        <v>235</v>
      </c>
      <c r="B22">
        <f t="shared" si="1"/>
        <v>3</v>
      </c>
      <c r="C22">
        <f t="shared" si="2"/>
        <v>8</v>
      </c>
      <c r="D22" t="str">
        <f t="shared" si="3"/>
        <v>40</v>
      </c>
      <c r="E22" t="str">
        <f t="shared" si="5"/>
        <v>1.70</v>
      </c>
      <c r="F22" t="str">
        <f t="shared" si="6"/>
        <v>2.25</v>
      </c>
    </row>
    <row r="23" spans="1:6" x14ac:dyDescent="0.35">
      <c r="A23" t="s">
        <v>236</v>
      </c>
      <c r="B23">
        <f t="shared" si="1"/>
        <v>3</v>
      </c>
      <c r="C23">
        <f t="shared" si="2"/>
        <v>8</v>
      </c>
      <c r="D23" t="str">
        <f t="shared" si="3"/>
        <v>45</v>
      </c>
      <c r="E23" t="str">
        <f t="shared" ref="E23:E58" si="7" xml:space="preserve"> RIGHT(LEFT($A23,C23-1),C23-B23-1)</f>
        <v>1.84</v>
      </c>
      <c r="F23" t="str">
        <f t="shared" si="6"/>
        <v>2.50</v>
      </c>
    </row>
    <row r="24" spans="1:6" x14ac:dyDescent="0.35">
      <c r="A24" t="s">
        <v>237</v>
      </c>
      <c r="B24">
        <f t="shared" si="1"/>
        <v>3</v>
      </c>
      <c r="C24">
        <f t="shared" si="2"/>
        <v>8</v>
      </c>
      <c r="D24" t="str">
        <f t="shared" si="3"/>
        <v>50</v>
      </c>
      <c r="E24" t="str">
        <f t="shared" ref="E24:E58" si="8" xml:space="preserve"> RIGHT(LEFT(A24,C24-1),C24-B24-1)</f>
        <v>1.94</v>
      </c>
      <c r="F24" t="str">
        <f t="shared" si="6"/>
        <v>2.71</v>
      </c>
    </row>
    <row r="25" spans="1:6" x14ac:dyDescent="0.35">
      <c r="A25" t="s">
        <v>238</v>
      </c>
      <c r="B25">
        <f t="shared" si="1"/>
        <v>3</v>
      </c>
      <c r="C25">
        <f t="shared" si="2"/>
        <v>8</v>
      </c>
      <c r="D25" t="str">
        <f t="shared" si="3"/>
        <v>55</v>
      </c>
      <c r="E25" t="str">
        <f t="shared" si="8"/>
        <v>2.00</v>
      </c>
      <c r="F25" t="str">
        <f t="shared" si="6"/>
        <v>2.88</v>
      </c>
    </row>
    <row r="26" spans="1:6" x14ac:dyDescent="0.35">
      <c r="A26" t="s">
        <v>239</v>
      </c>
      <c r="B26">
        <f t="shared" si="1"/>
        <v>3</v>
      </c>
      <c r="C26">
        <f t="shared" si="2"/>
        <v>8</v>
      </c>
      <c r="D26" t="str">
        <f t="shared" si="3"/>
        <v>60</v>
      </c>
      <c r="E26" t="str">
        <f t="shared" si="8"/>
        <v>2.06</v>
      </c>
      <c r="F26" t="str">
        <f t="shared" si="6"/>
        <v>3.06</v>
      </c>
    </row>
    <row r="27" spans="1:6" x14ac:dyDescent="0.35">
      <c r="A27" t="s">
        <v>240</v>
      </c>
      <c r="B27">
        <f t="shared" si="1"/>
        <v>3</v>
      </c>
      <c r="C27">
        <f t="shared" si="2"/>
        <v>8</v>
      </c>
      <c r="D27" t="str">
        <f t="shared" si="3"/>
        <v>65</v>
      </c>
      <c r="E27" t="str">
        <f t="shared" si="8"/>
        <v>2.10</v>
      </c>
      <c r="F27" t="str">
        <f t="shared" si="6"/>
        <v>3.18</v>
      </c>
    </row>
    <row r="28" spans="1:6" x14ac:dyDescent="0.35">
      <c r="A28" t="s">
        <v>241</v>
      </c>
      <c r="B28">
        <f t="shared" si="1"/>
        <v>3</v>
      </c>
      <c r="C28">
        <f t="shared" si="2"/>
        <v>8</v>
      </c>
      <c r="D28" t="str">
        <f t="shared" si="3"/>
        <v>70</v>
      </c>
      <c r="E28" t="str">
        <f t="shared" si="8"/>
        <v>2.13</v>
      </c>
      <c r="F28" t="str">
        <f t="shared" si="6"/>
        <v>3.27</v>
      </c>
    </row>
    <row r="29" spans="1:6" x14ac:dyDescent="0.35">
      <c r="A29" t="s">
        <v>242</v>
      </c>
      <c r="B29">
        <f t="shared" si="1"/>
        <v>3</v>
      </c>
      <c r="C29">
        <f t="shared" si="2"/>
        <v>8</v>
      </c>
      <c r="D29" t="str">
        <f t="shared" si="3"/>
        <v>75</v>
      </c>
      <c r="E29" t="str">
        <f t="shared" si="8"/>
        <v>2.15</v>
      </c>
      <c r="F29" t="str">
        <f t="shared" si="6"/>
        <v>3.36</v>
      </c>
    </row>
    <row r="30" spans="1:6" x14ac:dyDescent="0.35">
      <c r="A30" t="s">
        <v>243</v>
      </c>
      <c r="B30">
        <f t="shared" si="1"/>
        <v>3</v>
      </c>
      <c r="C30">
        <f t="shared" si="2"/>
        <v>8</v>
      </c>
      <c r="D30" t="str">
        <f t="shared" si="3"/>
        <v>80</v>
      </c>
      <c r="E30" t="str">
        <f t="shared" si="8"/>
        <v>2.19</v>
      </c>
      <c r="F30" t="str">
        <f t="shared" si="6"/>
        <v>3.45</v>
      </c>
    </row>
    <row r="31" spans="1:6" x14ac:dyDescent="0.35">
      <c r="A31" t="s">
        <v>244</v>
      </c>
      <c r="B31">
        <f t="shared" si="1"/>
        <v>3</v>
      </c>
      <c r="C31">
        <f t="shared" si="2"/>
        <v>8</v>
      </c>
      <c r="D31" t="str">
        <f t="shared" si="3"/>
        <v>85</v>
      </c>
      <c r="E31" t="str">
        <f t="shared" si="8"/>
        <v>2.20</v>
      </c>
      <c r="F31" t="str">
        <f t="shared" si="6"/>
        <v>3.51</v>
      </c>
    </row>
    <row r="32" spans="1:6" x14ac:dyDescent="0.35">
      <c r="A32" t="s">
        <v>245</v>
      </c>
      <c r="B32">
        <f t="shared" si="1"/>
        <v>3</v>
      </c>
      <c r="C32">
        <f t="shared" si="2"/>
        <v>8</v>
      </c>
      <c r="D32" t="str">
        <f t="shared" si="3"/>
        <v>90</v>
      </c>
      <c r="E32" t="str">
        <f t="shared" si="8"/>
        <v>2.22</v>
      </c>
      <c r="F32" t="str">
        <f t="shared" si="6"/>
        <v>3.56</v>
      </c>
    </row>
    <row r="33" spans="1:6" x14ac:dyDescent="0.35">
      <c r="A33" t="s">
        <v>246</v>
      </c>
      <c r="B33">
        <f t="shared" si="1"/>
        <v>3</v>
      </c>
      <c r="C33">
        <f t="shared" si="2"/>
        <v>8</v>
      </c>
      <c r="D33" t="str">
        <f t="shared" si="3"/>
        <v>95</v>
      </c>
      <c r="E33" t="str">
        <f t="shared" si="8"/>
        <v>2.23</v>
      </c>
      <c r="F33" t="str">
        <f t="shared" si="6"/>
        <v>3.60</v>
      </c>
    </row>
    <row r="34" spans="1:6" x14ac:dyDescent="0.35">
      <c r="A34" t="s">
        <v>247</v>
      </c>
      <c r="B34">
        <f t="shared" si="1"/>
        <v>4</v>
      </c>
      <c r="C34">
        <f t="shared" si="2"/>
        <v>9</v>
      </c>
      <c r="D34" t="str">
        <f t="shared" si="3"/>
        <v>100</v>
      </c>
      <c r="E34" t="str">
        <f t="shared" ref="E34:E58" si="9" xml:space="preserve"> RIGHT(LEFT($A34,C34-1),C34-B34-1)</f>
        <v>2.25</v>
      </c>
      <c r="F34" t="str">
        <f t="shared" si="6"/>
        <v>3.64</v>
      </c>
    </row>
    <row r="35" spans="1:6" x14ac:dyDescent="0.35">
      <c r="A35" t="s">
        <v>248</v>
      </c>
      <c r="B35">
        <f t="shared" si="1"/>
        <v>4</v>
      </c>
      <c r="C35">
        <f t="shared" si="2"/>
        <v>9</v>
      </c>
      <c r="D35" t="str">
        <f t="shared" si="3"/>
        <v>110</v>
      </c>
      <c r="E35" t="str">
        <f t="shared" ref="E35:E58" si="10" xml:space="preserve"> RIGHT(LEFT(A35,C35-1),C35-B35-1)</f>
        <v>2.23</v>
      </c>
      <c r="F35" t="str">
        <f t="shared" si="6"/>
        <v>3.66</v>
      </c>
    </row>
    <row r="36" spans="1:6" x14ac:dyDescent="0.35">
      <c r="A36" t="s">
        <v>249</v>
      </c>
      <c r="B36">
        <f t="shared" si="1"/>
        <v>4</v>
      </c>
      <c r="C36">
        <f t="shared" si="2"/>
        <v>9</v>
      </c>
      <c r="D36" t="str">
        <f t="shared" si="3"/>
        <v>120</v>
      </c>
      <c r="E36" t="str">
        <f t="shared" si="10"/>
        <v>2.23</v>
      </c>
      <c r="F36" t="str">
        <f t="shared" si="6"/>
        <v>3.66</v>
      </c>
    </row>
    <row r="37" spans="1:6" x14ac:dyDescent="0.35">
      <c r="A37" t="s">
        <v>250</v>
      </c>
      <c r="B37">
        <f t="shared" si="1"/>
        <v>4</v>
      </c>
      <c r="C37">
        <f t="shared" si="2"/>
        <v>9</v>
      </c>
      <c r="D37" t="str">
        <f t="shared" si="3"/>
        <v>140</v>
      </c>
      <c r="E37" t="str">
        <f t="shared" si="10"/>
        <v>2.19</v>
      </c>
      <c r="F37" t="str">
        <f t="shared" si="6"/>
        <v>3.63</v>
      </c>
    </row>
    <row r="38" spans="1:6" x14ac:dyDescent="0.35">
      <c r="A38" t="s">
        <v>251</v>
      </c>
      <c r="B38">
        <f t="shared" si="1"/>
        <v>4</v>
      </c>
      <c r="C38">
        <f t="shared" si="2"/>
        <v>9</v>
      </c>
      <c r="D38" t="str">
        <f t="shared" si="3"/>
        <v>160</v>
      </c>
      <c r="E38" t="str">
        <f t="shared" si="10"/>
        <v>2.12</v>
      </c>
      <c r="F38" t="str">
        <f t="shared" si="6"/>
        <v>3.52</v>
      </c>
    </row>
    <row r="39" spans="1:6" x14ac:dyDescent="0.35">
      <c r="A39" t="s">
        <v>252</v>
      </c>
      <c r="B39">
        <f t="shared" si="1"/>
        <v>4</v>
      </c>
      <c r="C39">
        <f t="shared" si="2"/>
        <v>9</v>
      </c>
      <c r="D39" t="str">
        <f t="shared" si="3"/>
        <v>180</v>
      </c>
      <c r="E39" t="str">
        <f t="shared" si="10"/>
        <v>2.08</v>
      </c>
      <c r="F39" t="str">
        <f t="shared" si="6"/>
        <v>3.43</v>
      </c>
    </row>
    <row r="40" spans="1:6" x14ac:dyDescent="0.35">
      <c r="A40" t="s">
        <v>253</v>
      </c>
      <c r="B40">
        <f t="shared" si="1"/>
        <v>4</v>
      </c>
      <c r="C40">
        <f t="shared" si="2"/>
        <v>9</v>
      </c>
      <c r="D40" t="str">
        <f t="shared" si="3"/>
        <v>200</v>
      </c>
      <c r="E40" t="str">
        <f t="shared" si="10"/>
        <v>2.01</v>
      </c>
      <c r="F40" t="str">
        <f t="shared" si="6"/>
        <v>3.32</v>
      </c>
    </row>
    <row r="41" spans="1:6" x14ac:dyDescent="0.35">
      <c r="A41" t="s">
        <v>254</v>
      </c>
      <c r="B41">
        <f t="shared" si="1"/>
        <v>4</v>
      </c>
      <c r="C41">
        <f t="shared" si="2"/>
        <v>9</v>
      </c>
      <c r="D41" t="str">
        <f t="shared" si="3"/>
        <v>225</v>
      </c>
      <c r="E41" t="str">
        <f t="shared" si="10"/>
        <v>1.95</v>
      </c>
      <c r="F41" t="str">
        <f t="shared" si="6"/>
        <v>3.21</v>
      </c>
    </row>
    <row r="42" spans="1:6" x14ac:dyDescent="0.35">
      <c r="A42" t="s">
        <v>255</v>
      </c>
      <c r="B42">
        <f t="shared" si="1"/>
        <v>4</v>
      </c>
      <c r="C42">
        <f t="shared" si="2"/>
        <v>9</v>
      </c>
      <c r="D42" t="str">
        <f t="shared" si="3"/>
        <v>250</v>
      </c>
      <c r="E42" t="str">
        <f t="shared" si="10"/>
        <v>1.87</v>
      </c>
      <c r="F42" t="str">
        <f t="shared" si="6"/>
        <v>3.05</v>
      </c>
    </row>
    <row r="43" spans="1:6" x14ac:dyDescent="0.35">
      <c r="A43" t="s">
        <v>256</v>
      </c>
      <c r="B43">
        <f t="shared" si="1"/>
        <v>4</v>
      </c>
      <c r="C43">
        <f t="shared" si="2"/>
        <v>9</v>
      </c>
      <c r="D43" t="str">
        <f t="shared" si="3"/>
        <v>275</v>
      </c>
      <c r="E43" t="str">
        <f t="shared" si="10"/>
        <v>1.83</v>
      </c>
      <c r="F43" t="str">
        <f t="shared" si="6"/>
        <v>2.97</v>
      </c>
    </row>
    <row r="44" spans="1:6" x14ac:dyDescent="0.35">
      <c r="A44" t="s">
        <v>257</v>
      </c>
      <c r="B44">
        <f t="shared" si="1"/>
        <v>4</v>
      </c>
      <c r="C44">
        <f t="shared" si="2"/>
        <v>9</v>
      </c>
      <c r="D44" t="str">
        <f t="shared" si="3"/>
        <v>300</v>
      </c>
      <c r="E44" t="str">
        <f t="shared" si="10"/>
        <v>1.75</v>
      </c>
      <c r="F44" t="str">
        <f t="shared" si="6"/>
        <v>2.82</v>
      </c>
    </row>
    <row r="45" spans="1:6" x14ac:dyDescent="0.35">
      <c r="A45" t="s">
        <v>258</v>
      </c>
      <c r="B45">
        <f t="shared" si="1"/>
        <v>4</v>
      </c>
      <c r="C45">
        <f t="shared" si="2"/>
        <v>9</v>
      </c>
      <c r="D45" t="str">
        <f t="shared" si="3"/>
        <v>350</v>
      </c>
      <c r="E45" t="str">
        <f t="shared" ref="E45:E58" si="11" xml:space="preserve"> RIGHT(LEFT($A45,C45-1),C45-B45-1)</f>
        <v>1.62</v>
      </c>
      <c r="F45" t="str">
        <f t="shared" si="6"/>
        <v>2.58</v>
      </c>
    </row>
    <row r="46" spans="1:6" x14ac:dyDescent="0.35">
      <c r="A46" t="s">
        <v>259</v>
      </c>
      <c r="B46">
        <f t="shared" si="1"/>
        <v>4</v>
      </c>
      <c r="C46">
        <f t="shared" si="2"/>
        <v>9</v>
      </c>
      <c r="D46" t="str">
        <f t="shared" si="3"/>
        <v>400</v>
      </c>
      <c r="E46" t="str">
        <f t="shared" ref="E46:E58" si="12" xml:space="preserve"> RIGHT(LEFT(A46,C46-1),C46-B46-1)</f>
        <v>1.54</v>
      </c>
      <c r="F46" t="str">
        <f t="shared" si="6"/>
        <v>2.43</v>
      </c>
    </row>
    <row r="47" spans="1:6" x14ac:dyDescent="0.35">
      <c r="A47" t="s">
        <v>260</v>
      </c>
      <c r="B47">
        <f t="shared" si="1"/>
        <v>4</v>
      </c>
      <c r="C47">
        <f t="shared" si="2"/>
        <v>9</v>
      </c>
      <c r="D47" t="str">
        <f t="shared" si="3"/>
        <v>450</v>
      </c>
      <c r="E47" t="str">
        <f t="shared" si="12"/>
        <v>1.43</v>
      </c>
      <c r="F47" t="str">
        <f t="shared" si="6"/>
        <v>2.23</v>
      </c>
    </row>
    <row r="48" spans="1:6" x14ac:dyDescent="0.35">
      <c r="A48" t="s">
        <v>261</v>
      </c>
      <c r="B48">
        <f t="shared" si="1"/>
        <v>4</v>
      </c>
      <c r="C48">
        <f t="shared" si="2"/>
        <v>9</v>
      </c>
      <c r="D48" t="str">
        <f t="shared" si="3"/>
        <v>500</v>
      </c>
      <c r="E48" t="str">
        <f t="shared" si="12"/>
        <v>1.35</v>
      </c>
      <c r="F48" t="str">
        <f t="shared" si="6"/>
        <v>2.09</v>
      </c>
    </row>
    <row r="49" spans="1:6" x14ac:dyDescent="0.35">
      <c r="A49" t="s">
        <v>262</v>
      </c>
      <c r="B49">
        <f t="shared" si="1"/>
        <v>4</v>
      </c>
      <c r="C49">
        <f t="shared" si="2"/>
        <v>9</v>
      </c>
      <c r="D49" t="str">
        <f t="shared" si="3"/>
        <v>550</v>
      </c>
      <c r="E49" t="str">
        <f t="shared" si="12"/>
        <v>1.27</v>
      </c>
      <c r="F49" t="str">
        <f t="shared" si="6"/>
        <v>1.96</v>
      </c>
    </row>
    <row r="50" spans="1:6" x14ac:dyDescent="0.35">
      <c r="A50" t="s">
        <v>263</v>
      </c>
      <c r="B50">
        <f t="shared" si="1"/>
        <v>4</v>
      </c>
      <c r="C50">
        <f t="shared" si="2"/>
        <v>9</v>
      </c>
      <c r="D50" t="str">
        <f t="shared" si="3"/>
        <v>600</v>
      </c>
      <c r="E50" t="str">
        <f t="shared" si="12"/>
        <v>1.21</v>
      </c>
      <c r="F50" t="str">
        <f t="shared" si="6"/>
        <v>1.85</v>
      </c>
    </row>
    <row r="51" spans="1:6" x14ac:dyDescent="0.35">
      <c r="A51" t="s">
        <v>264</v>
      </c>
      <c r="B51">
        <f t="shared" si="1"/>
        <v>4</v>
      </c>
      <c r="C51">
        <f t="shared" si="2"/>
        <v>9</v>
      </c>
      <c r="D51" t="str">
        <f t="shared" si="3"/>
        <v>650</v>
      </c>
      <c r="E51" t="str">
        <f t="shared" si="12"/>
        <v>1.16</v>
      </c>
      <c r="F51" t="str">
        <f t="shared" si="6"/>
        <v>1.76</v>
      </c>
    </row>
    <row r="52" spans="1:6" x14ac:dyDescent="0.35">
      <c r="A52" t="s">
        <v>265</v>
      </c>
      <c r="B52">
        <f t="shared" si="1"/>
        <v>4</v>
      </c>
      <c r="C52">
        <f t="shared" si="2"/>
        <v>9</v>
      </c>
      <c r="D52" t="str">
        <f t="shared" si="3"/>
        <v>700</v>
      </c>
      <c r="E52" t="str">
        <f t="shared" si="12"/>
        <v>1.10</v>
      </c>
      <c r="F52" t="str">
        <f t="shared" si="6"/>
        <v>1.68</v>
      </c>
    </row>
    <row r="53" spans="1:6" x14ac:dyDescent="0.35">
      <c r="A53" t="s">
        <v>266</v>
      </c>
      <c r="B53">
        <f t="shared" si="1"/>
        <v>4</v>
      </c>
      <c r="C53">
        <f t="shared" si="2"/>
        <v>9</v>
      </c>
      <c r="D53" t="str">
        <f t="shared" si="3"/>
        <v>750</v>
      </c>
      <c r="E53" t="str">
        <f t="shared" si="12"/>
        <v>1.06</v>
      </c>
      <c r="F53" t="str">
        <f t="shared" si="6"/>
        <v>1.61</v>
      </c>
    </row>
    <row r="54" spans="1:6" x14ac:dyDescent="0.35">
      <c r="A54" t="s">
        <v>267</v>
      </c>
      <c r="B54">
        <f t="shared" si="1"/>
        <v>4</v>
      </c>
      <c r="C54">
        <f t="shared" si="2"/>
        <v>9</v>
      </c>
      <c r="D54" t="str">
        <f t="shared" si="3"/>
        <v>800</v>
      </c>
      <c r="E54" t="str">
        <f t="shared" si="12"/>
        <v>1.01</v>
      </c>
      <c r="F54" t="str">
        <f t="shared" si="6"/>
        <v>1.53</v>
      </c>
    </row>
    <row r="55" spans="1:6" x14ac:dyDescent="0.35">
      <c r="A55" t="s">
        <v>268</v>
      </c>
      <c r="B55">
        <f t="shared" si="1"/>
        <v>4</v>
      </c>
      <c r="C55">
        <f t="shared" si="2"/>
        <v>10</v>
      </c>
      <c r="D55" t="str">
        <f t="shared" si="3"/>
        <v>850</v>
      </c>
      <c r="E55" t="str">
        <f t="shared" si="12"/>
        <v>0.964</v>
      </c>
      <c r="F55" t="str">
        <f t="shared" si="6"/>
        <v>1.45</v>
      </c>
    </row>
    <row r="56" spans="1:6" x14ac:dyDescent="0.35">
      <c r="A56" t="s">
        <v>269</v>
      </c>
      <c r="B56">
        <f t="shared" si="1"/>
        <v>4</v>
      </c>
      <c r="C56">
        <f t="shared" si="2"/>
        <v>10</v>
      </c>
      <c r="D56" t="str">
        <f t="shared" si="3"/>
        <v>900</v>
      </c>
      <c r="E56" t="str">
        <f t="shared" ref="E56:E58" si="13" xml:space="preserve"> RIGHT(LEFT($A56,C56-1),C56-B56-1)</f>
        <v>0.941</v>
      </c>
      <c r="F56" t="str">
        <f t="shared" si="6"/>
        <v>1.41</v>
      </c>
    </row>
    <row r="57" spans="1:6" x14ac:dyDescent="0.35">
      <c r="A57" t="s">
        <v>270</v>
      </c>
      <c r="B57">
        <f t="shared" si="1"/>
        <v>4</v>
      </c>
      <c r="C57">
        <f t="shared" si="2"/>
        <v>10</v>
      </c>
      <c r="D57" t="str">
        <f t="shared" si="3"/>
        <v>950</v>
      </c>
      <c r="E57" t="str">
        <f t="shared" ref="E57:E58" si="14" xml:space="preserve"> RIGHT(LEFT(A57,C57-1),C57-B57-1)</f>
        <v>0.909</v>
      </c>
      <c r="F57" t="str">
        <f t="shared" si="6"/>
        <v>1.36</v>
      </c>
    </row>
    <row r="58" spans="1:6" x14ac:dyDescent="0.35">
      <c r="A58" t="s">
        <v>271</v>
      </c>
      <c r="B58">
        <f t="shared" si="1"/>
        <v>5</v>
      </c>
      <c r="C58">
        <f t="shared" si="2"/>
        <v>11</v>
      </c>
      <c r="D58" t="str">
        <f t="shared" si="3"/>
        <v>1000</v>
      </c>
      <c r="E58" t="str">
        <f t="shared" si="14"/>
        <v>0.876</v>
      </c>
      <c r="F58" t="str">
        <f t="shared" si="6"/>
        <v>1.30</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39861E2-BA92-4059-BD7C-764A44B08CF0}">
  <dimension ref="A2:F129"/>
  <sheetViews>
    <sheetView workbookViewId="0">
      <selection activeCell="H11" sqref="H11"/>
    </sheetView>
  </sheetViews>
  <sheetFormatPr defaultRowHeight="14.5" x14ac:dyDescent="0.35"/>
  <sheetData>
    <row r="2" spans="1:6" x14ac:dyDescent="0.35">
      <c r="A2" t="s">
        <v>3</v>
      </c>
      <c r="C2" t="str">
        <f>A2</f>
        <v>0.1</v>
      </c>
      <c r="D2" t="str">
        <f>A3</f>
        <v xml:space="preserve">49.7 </v>
      </c>
      <c r="E2" t="str" cm="1">
        <f t="array" aca="1" ref="E2" ca="1">INDIRECT(CONCATENATE("A", 2 * ROW(E2)-2))</f>
        <v>0.1</v>
      </c>
      <c r="F2" t="str" cm="1">
        <f t="array" aca="1" ref="F2" ca="1">INDIRECT(CONCATENATE("A", 2 * ROW(E2)-1))</f>
        <v xml:space="preserve">49.7 </v>
      </c>
    </row>
    <row r="3" spans="1:6" x14ac:dyDescent="0.35">
      <c r="A3" t="s">
        <v>4</v>
      </c>
      <c r="C3" t="str">
        <f>A4</f>
        <v xml:space="preserve">0.12 </v>
      </c>
      <c r="E3" t="str" cm="1">
        <f t="array" aca="1" ref="E3" ca="1">INDIRECT(CONCATENATE("A", 2 * ROW(E3)-2))</f>
        <v xml:space="preserve">0.12 </v>
      </c>
      <c r="F3" t="str" cm="1">
        <f t="array" aca="1" ref="F3" ca="1">INDIRECT(CONCATENATE("A", 2 * ROW(E3)-1))</f>
        <v xml:space="preserve">44.3 </v>
      </c>
    </row>
    <row r="4" spans="1:6" x14ac:dyDescent="0.35">
      <c r="A4" t="s">
        <v>5</v>
      </c>
      <c r="C4" t="str" cm="1">
        <f t="array" aca="1" ref="C4" ca="1">INDIRECT("A4")</f>
        <v xml:space="preserve">0.12 </v>
      </c>
      <c r="E4" t="str" cm="1">
        <f t="array" aca="1" ref="E4" ca="1">INDIRECT(CONCATENATE("A", 2 * ROW(E4)-2))</f>
        <v xml:space="preserve">0.15 </v>
      </c>
      <c r="F4" t="str" cm="1">
        <f t="array" aca="1" ref="F4" ca="1">INDIRECT(CONCATENATE("A", 2 * ROW(E4)-1))</f>
        <v xml:space="preserve">38.1 </v>
      </c>
    </row>
    <row r="5" spans="1:6" x14ac:dyDescent="0.35">
      <c r="A5" t="s">
        <v>6</v>
      </c>
      <c r="E5" t="str" cm="1">
        <f t="array" aca="1" ref="E5" ca="1">INDIRECT(CONCATENATE("A", 2 * ROW(E5)-2))</f>
        <v xml:space="preserve">0.17 </v>
      </c>
      <c r="F5" t="str" cm="1">
        <f t="array" aca="1" ref="F5" ca="1">INDIRECT(CONCATENATE("A", 2 * ROW(E5)-1))</f>
        <v xml:space="preserve">34.9 </v>
      </c>
    </row>
    <row r="6" spans="1:6" x14ac:dyDescent="0.35">
      <c r="A6" t="s">
        <v>7</v>
      </c>
      <c r="E6" t="str" cm="1">
        <f t="array" aca="1" ref="E6" ca="1">INDIRECT(CONCATENATE("A", 2 * ROW(E6)-2))</f>
        <v xml:space="preserve">0.2 </v>
      </c>
      <c r="F6" t="str" cm="1">
        <f t="array" aca="1" ref="F6" ca="1">INDIRECT(CONCATENATE("A", 2 * ROW(E6)-1))</f>
        <v xml:space="preserve">31.1 </v>
      </c>
    </row>
    <row r="7" spans="1:6" x14ac:dyDescent="0.35">
      <c r="A7" t="s">
        <v>8</v>
      </c>
      <c r="E7" t="str" cm="1">
        <f t="array" aca="1" ref="E7" ca="1">INDIRECT(CONCATENATE("A", 2 * ROW(E7)-2))</f>
        <v xml:space="preserve">0.25 </v>
      </c>
      <c r="F7" t="str" cm="1">
        <f t="array" aca="1" ref="F7" ca="1">INDIRECT(CONCATENATE("A", 2 * ROW(E7)-1))</f>
        <v xml:space="preserve">26.4 </v>
      </c>
    </row>
    <row r="8" spans="1:6" x14ac:dyDescent="0.35">
      <c r="A8" t="s">
        <v>9</v>
      </c>
      <c r="E8" t="str" cm="1">
        <f t="array" aca="1" ref="E8" ca="1">INDIRECT(CONCATENATE("A", 2 * ROW(E8)-2))</f>
        <v xml:space="preserve">0.3 </v>
      </c>
      <c r="F8" t="str" cm="1">
        <f t="array" aca="1" ref="F8" ca="1">INDIRECT(CONCATENATE("A", 2 * ROW(E8)-1))</f>
        <v xml:space="preserve">23.0 </v>
      </c>
    </row>
    <row r="9" spans="1:6" x14ac:dyDescent="0.35">
      <c r="A9" t="s">
        <v>10</v>
      </c>
      <c r="E9" t="str" cm="1">
        <f t="array" aca="1" ref="E9" ca="1">INDIRECT(CONCATENATE("A", 2 * ROW(E9)-2))</f>
        <v xml:space="preserve">0.35 </v>
      </c>
      <c r="F9" t="str" cm="1">
        <f t="array" aca="1" ref="F9" ca="1">INDIRECT(CONCATENATE("A", 2 * ROW(E9)-1))</f>
        <v xml:space="preserve">20.5 </v>
      </c>
    </row>
    <row r="10" spans="1:6" x14ac:dyDescent="0.35">
      <c r="A10" t="s">
        <v>11</v>
      </c>
      <c r="E10" t="str" cm="1">
        <f t="array" aca="1" ref="E10" ca="1">INDIRECT(CONCATENATE("A", 2 * ROW(E10)-2))</f>
        <v xml:space="preserve">0.4 </v>
      </c>
      <c r="F10" t="str" cm="1">
        <f t="array" aca="1" ref="F10" ca="1">INDIRECT(CONCATENATE("A", 2 * ROW(E10)-1))</f>
        <v xml:space="preserve">18.6 </v>
      </c>
    </row>
    <row r="11" spans="1:6" x14ac:dyDescent="0.35">
      <c r="A11" t="s">
        <v>12</v>
      </c>
      <c r="E11" t="str" cm="1">
        <f t="array" aca="1" ref="E11" ca="1">INDIRECT(CONCATENATE("A", 2 * ROW(E11)-2))</f>
        <v xml:space="preserve">0.45 </v>
      </c>
      <c r="F11" t="str" cm="1">
        <f t="array" aca="1" ref="F11" ca="1">INDIRECT(CONCATENATE("A", 2 * ROW(E11)-1))</f>
        <v xml:space="preserve">17.0 </v>
      </c>
    </row>
    <row r="12" spans="1:6" x14ac:dyDescent="0.35">
      <c r="A12" t="s">
        <v>13</v>
      </c>
      <c r="E12" t="str" cm="1">
        <f t="array" aca="1" ref="E12" ca="1">INDIRECT(CONCATENATE("A", 2 * ROW(E12)-2))</f>
        <v xml:space="preserve">0.5 </v>
      </c>
      <c r="F12" t="str" cm="1">
        <f t="array" aca="1" ref="F12" ca="1">INDIRECT(CONCATENATE("A", 2 * ROW(E12)-1))</f>
        <v xml:space="preserve">15.7 </v>
      </c>
    </row>
    <row r="13" spans="1:6" x14ac:dyDescent="0.35">
      <c r="A13" t="s">
        <v>14</v>
      </c>
      <c r="E13" t="str" cm="1">
        <f t="array" aca="1" ref="E13" ca="1">INDIRECT(CONCATENATE("A", 2 * ROW(E13)-2))</f>
        <v xml:space="preserve">0.6 </v>
      </c>
      <c r="F13" t="str" cm="1">
        <f t="array" aca="1" ref="F13" ca="1">INDIRECT(CONCATENATE("A", 2 * ROW(E13)-1))</f>
        <v xml:space="preserve">13.6 </v>
      </c>
    </row>
    <row r="14" spans="1:6" x14ac:dyDescent="0.35">
      <c r="A14" t="s">
        <v>15</v>
      </c>
      <c r="E14" t="str" cm="1">
        <f t="array" aca="1" ref="E14" ca="1">INDIRECT(CONCATENATE("A", 2 * ROW(E14)-2))</f>
        <v xml:space="preserve">0.7 </v>
      </c>
      <c r="F14" t="str" cm="1">
        <f t="array" aca="1" ref="F14" ca="1">INDIRECT(CONCATENATE("A", 2 * ROW(E14)-1))</f>
        <v xml:space="preserve">11.9 </v>
      </c>
    </row>
    <row r="15" spans="1:6" x14ac:dyDescent="0.35">
      <c r="A15" t="s">
        <v>16</v>
      </c>
      <c r="E15" t="str" cm="1">
        <f t="array" aca="1" ref="E15" ca="1">INDIRECT(CONCATENATE("A", 2 * ROW(E15)-2))</f>
        <v xml:space="preserve">0.8 </v>
      </c>
      <c r="F15" t="str" cm="1">
        <f t="array" aca="1" ref="F15" ca="1">INDIRECT(CONCATENATE("A", 2 * ROW(E15)-1))</f>
        <v xml:space="preserve">10.5 </v>
      </c>
    </row>
    <row r="16" spans="1:6" x14ac:dyDescent="0.35">
      <c r="A16" t="s">
        <v>17</v>
      </c>
      <c r="E16" t="str" cm="1">
        <f t="array" aca="1" ref="E16" ca="1">INDIRECT(CONCATENATE("A", 2 * ROW(E16)-2))</f>
        <v xml:space="preserve">0.9 </v>
      </c>
      <c r="F16" t="str" cm="1">
        <f t="array" aca="1" ref="F16" ca="1">INDIRECT(CONCATENATE("A", 2 * ROW(E16)-1))</f>
        <v xml:space="preserve">9.25 </v>
      </c>
    </row>
    <row r="17" spans="1:6" x14ac:dyDescent="0.35">
      <c r="A17" t="s">
        <v>18</v>
      </c>
      <c r="E17" t="str" cm="1">
        <f t="array" aca="1" ref="E17" ca="1">INDIRECT(CONCATENATE("A", 2 * ROW(E17)-2))</f>
        <v xml:space="preserve">1 </v>
      </c>
      <c r="F17" t="str" cm="1">
        <f t="array" aca="1" ref="F17" ca="1">INDIRECT(CONCATENATE("A", 2 * ROW(E17)-1))</f>
        <v xml:space="preserve">8.29 </v>
      </c>
    </row>
    <row r="18" spans="1:6" x14ac:dyDescent="0.35">
      <c r="A18" t="s">
        <v>19</v>
      </c>
      <c r="E18" t="str" cm="1">
        <f t="array" aca="1" ref="E18" ca="1">INDIRECT(CONCATENATE("A", 2 * ROW(E18)-2))</f>
        <v xml:space="preserve">1.2 </v>
      </c>
      <c r="F18" t="str" cm="1">
        <f t="array" aca="1" ref="F18" ca="1">INDIRECT(CONCATENATE("A", 2 * ROW(E18)-1))</f>
        <v xml:space="preserve">7.22 </v>
      </c>
    </row>
    <row r="19" spans="1:6" x14ac:dyDescent="0.35">
      <c r="A19" t="s">
        <v>20</v>
      </c>
      <c r="E19" t="str" cm="1">
        <f t="array" aca="1" ref="E19" ca="1">INDIRECT(CONCATENATE("A", 2 * ROW(E19)-2))</f>
        <v xml:space="preserve">1.5 </v>
      </c>
      <c r="F19" t="str" cm="1">
        <f t="array" aca="1" ref="F19" ca="1">INDIRECT(CONCATENATE("A", 2 * ROW(E19)-1))</f>
        <v xml:space="preserve">6.32 </v>
      </c>
    </row>
    <row r="20" spans="1:6" x14ac:dyDescent="0.35">
      <c r="A20" t="s">
        <v>21</v>
      </c>
      <c r="E20" t="str" cm="1">
        <f t="array" aca="1" ref="E20" ca="1">INDIRECT(CONCATENATE("A", 2 * ROW(E20)-2))</f>
        <v xml:space="preserve">1.7 </v>
      </c>
      <c r="F20" t="str" cm="1">
        <f t="array" aca="1" ref="F20" ca="1">INDIRECT(CONCATENATE("A", 2 * ROW(E20)-1))</f>
        <v xml:space="preserve">6.02 </v>
      </c>
    </row>
    <row r="21" spans="1:6" x14ac:dyDescent="0.35">
      <c r="A21" t="s">
        <v>22</v>
      </c>
      <c r="E21" t="str" cm="1">
        <f t="array" aca="1" ref="E21" ca="1">INDIRECT(CONCATENATE("A", 2 * ROW(E21)-2))</f>
        <v xml:space="preserve">2 </v>
      </c>
      <c r="F21" t="str" cm="1">
        <f t="array" aca="1" ref="F21" ca="1">INDIRECT(CONCATENATE("A", 2 * ROW(E21)-1))</f>
        <v xml:space="preserve">5.94 </v>
      </c>
    </row>
    <row r="22" spans="1:6" x14ac:dyDescent="0.35">
      <c r="A22" t="s">
        <v>23</v>
      </c>
      <c r="E22" t="str" cm="1">
        <f t="array" aca="1" ref="E22" ca="1">INDIRECT(CONCATENATE("A", 2 * ROW(E22)-2))</f>
        <v xml:space="preserve">2.5 </v>
      </c>
      <c r="F22" t="str" cm="1">
        <f t="array" aca="1" ref="F22" ca="1">INDIRECT(CONCATENATE("A", 2 * ROW(E22)-1))</f>
        <v xml:space="preserve">6.81 </v>
      </c>
    </row>
    <row r="23" spans="1:6" x14ac:dyDescent="0.35">
      <c r="A23" t="s">
        <v>24</v>
      </c>
      <c r="E23" t="str" cm="1">
        <f t="array" aca="1" ref="E23" ca="1">INDIRECT(CONCATENATE("A", 2 * ROW(E23)-2))</f>
        <v xml:space="preserve">3 </v>
      </c>
      <c r="F23" t="str" cm="1">
        <f t="array" aca="1" ref="F23" ca="1">INDIRECT(CONCATENATE("A", 2 * ROW(E23)-1))</f>
        <v xml:space="preserve">8.77 </v>
      </c>
    </row>
    <row r="24" spans="1:6" x14ac:dyDescent="0.35">
      <c r="A24" t="s">
        <v>25</v>
      </c>
      <c r="E24" t="str" cm="1">
        <f t="array" aca="1" ref="E24" ca="1">INDIRECT(CONCATENATE("A", 2 * ROW(E24)-2))</f>
        <v xml:space="preserve">3.5 </v>
      </c>
      <c r="F24" t="str" cm="1">
        <f t="array" aca="1" ref="F24" ca="1">INDIRECT(CONCATENATE("A", 2 * ROW(E24)-1))</f>
        <v xml:space="preserve">13.3 </v>
      </c>
    </row>
    <row r="25" spans="1:6" x14ac:dyDescent="0.35">
      <c r="A25" t="s">
        <v>26</v>
      </c>
      <c r="E25" t="str" cm="1">
        <f t="array" aca="1" ref="E25" ca="1">INDIRECT(CONCATENATE("A", 2 * ROW(E25)-2))</f>
        <v xml:space="preserve">3.8 </v>
      </c>
      <c r="F25" t="str" cm="1">
        <f t="array" aca="1" ref="F25" ca="1">INDIRECT(CONCATENATE("A", 2 * ROW(E25)-1))</f>
        <v xml:space="preserve">15.8 </v>
      </c>
    </row>
    <row r="26" spans="1:6" x14ac:dyDescent="0.35">
      <c r="A26" t="s">
        <v>27</v>
      </c>
      <c r="E26" t="str" cm="1">
        <f t="array" aca="1" ref="E26" ca="1">INDIRECT(CONCATENATE("A", 2 * ROW(E26)-2))</f>
        <v xml:space="preserve">4 </v>
      </c>
      <c r="F26" t="str" cm="1">
        <f t="array" aca="1" ref="F26" ca="1">INDIRECT(CONCATENATE("A", 2 * ROW(E26)-1))</f>
        <v xml:space="preserve">14.9 </v>
      </c>
    </row>
    <row r="27" spans="1:6" x14ac:dyDescent="0.35">
      <c r="A27" t="s">
        <v>28</v>
      </c>
      <c r="E27" t="str" cm="1">
        <f t="array" aca="1" ref="E27" ca="1">INDIRECT(CONCATENATE("A", 2 * ROW(E27)-2))</f>
        <v xml:space="preserve">4.5 </v>
      </c>
      <c r="F27" t="str" cm="1">
        <f t="array" aca="1" ref="F27" ca="1">INDIRECT(CONCATENATE("A", 2 * ROW(E27)-1))</f>
        <v xml:space="preserve">11.3 </v>
      </c>
    </row>
    <row r="28" spans="1:6" x14ac:dyDescent="0.35">
      <c r="A28" t="s">
        <v>29</v>
      </c>
      <c r="E28" t="str" cm="1">
        <f t="array" aca="1" ref="E28" ca="1">INDIRECT(CONCATENATE("A", 2 * ROW(E28)-2))</f>
        <v xml:space="preserve">5 </v>
      </c>
      <c r="F28" t="str" cm="1">
        <f t="array" aca="1" ref="F28" ca="1">INDIRECT(CONCATENATE("A", 2 * ROW(E28)-1))</f>
        <v xml:space="preserve">9.06 </v>
      </c>
    </row>
    <row r="29" spans="1:6" x14ac:dyDescent="0.35">
      <c r="A29" t="s">
        <v>30</v>
      </c>
      <c r="E29" t="str" cm="1">
        <f t="array" aca="1" ref="E29" ca="1">INDIRECT(CONCATENATE("A", 2 * ROW(E29)-2))</f>
        <v xml:space="preserve">6 </v>
      </c>
      <c r="F29" t="str" cm="1">
        <f t="array" aca="1" ref="F29" ca="1">INDIRECT(CONCATENATE("A", 2 * ROW(E29)-1))</f>
        <v xml:space="preserve">8.44 </v>
      </c>
    </row>
    <row r="30" spans="1:6" x14ac:dyDescent="0.35">
      <c r="A30" t="s">
        <v>31</v>
      </c>
      <c r="E30" t="str" cm="1">
        <f t="array" aca="1" ref="E30" ca="1">INDIRECT(CONCATENATE("A", 2 * ROW(E30)-2))</f>
        <v xml:space="preserve">7 </v>
      </c>
      <c r="F30" t="str" cm="1">
        <f t="array" aca="1" ref="F30" ca="1">INDIRECT(CONCATENATE("A", 2 * ROW(E30)-1))</f>
        <v xml:space="preserve">9.21 </v>
      </c>
    </row>
    <row r="31" spans="1:6" x14ac:dyDescent="0.35">
      <c r="A31" t="s">
        <v>32</v>
      </c>
      <c r="E31" t="str" cm="1">
        <f t="array" aca="1" ref="E31" ca="1">INDIRECT(CONCATENATE("A", 2 * ROW(E31)-2))</f>
        <v xml:space="preserve">8 </v>
      </c>
      <c r="F31" t="str" cm="1">
        <f t="array" aca="1" ref="F31" ca="1">INDIRECT(CONCATENATE("A", 2 * ROW(E31)-1))</f>
        <v xml:space="preserve">10.3 </v>
      </c>
    </row>
    <row r="32" spans="1:6" x14ac:dyDescent="0.35">
      <c r="A32" t="s">
        <v>33</v>
      </c>
      <c r="E32" t="str" cm="1">
        <f t="array" aca="1" ref="E32" ca="1">INDIRECT(CONCATENATE("A", 2 * ROW(E32)-2))</f>
        <v xml:space="preserve">9 </v>
      </c>
      <c r="F32" t="str" cm="1">
        <f t="array" aca="1" ref="F32" ca="1">INDIRECT(CONCATENATE("A", 2 * ROW(E32)-1))</f>
        <v xml:space="preserve">11.3 </v>
      </c>
    </row>
    <row r="33" spans="1:6" x14ac:dyDescent="0.35">
      <c r="A33" t="s">
        <v>34</v>
      </c>
      <c r="E33" t="str" cm="1">
        <f t="array" aca="1" ref="E33" ca="1">INDIRECT(CONCATENATE("A", 2 * ROW(E33)-2))</f>
        <v xml:space="preserve">10 </v>
      </c>
      <c r="F33" t="str" cm="1">
        <f t="array" aca="1" ref="F33" ca="1">INDIRECT(CONCATENATE("A", 2 * ROW(E33)-1))</f>
        <v xml:space="preserve">12.2 </v>
      </c>
    </row>
    <row r="34" spans="1:6" x14ac:dyDescent="0.35">
      <c r="A34" t="s">
        <v>35</v>
      </c>
      <c r="E34" t="str" cm="1">
        <f t="array" aca="1" ref="E34" ca="1">INDIRECT(CONCATENATE("A", 2 * ROW(E34)-2))</f>
        <v xml:space="preserve">12 </v>
      </c>
      <c r="F34" t="str" cm="1">
        <f t="array" aca="1" ref="F34" ca="1">INDIRECT(CONCATENATE("A", 2 * ROW(E34)-1))</f>
        <v xml:space="preserve">14.2 </v>
      </c>
    </row>
    <row r="35" spans="1:6" x14ac:dyDescent="0.35">
      <c r="A35" t="s">
        <v>36</v>
      </c>
      <c r="E35" t="str" cm="1">
        <f t="array" aca="1" ref="E35" ca="1">INDIRECT(CONCATENATE("A", 2 * ROW(E35)-2))</f>
        <v xml:space="preserve">15 </v>
      </c>
      <c r="F35" t="str" cm="1">
        <f t="array" aca="1" ref="F35" ca="1">INDIRECT(CONCATENATE("A", 2 * ROW(E35)-1))</f>
        <v xml:space="preserve">15.8 </v>
      </c>
    </row>
    <row r="36" spans="1:6" x14ac:dyDescent="0.35">
      <c r="A36" t="s">
        <v>37</v>
      </c>
      <c r="E36" t="str" cm="1">
        <f t="array" aca="1" ref="E36" ca="1">INDIRECT(CONCATENATE("A", 2 * ROW(E36)-2))</f>
        <v xml:space="preserve">17 </v>
      </c>
      <c r="F36" t="str" cm="1">
        <f t="array" aca="1" ref="F36" ca="1">INDIRECT(CONCATENATE("A", 2 * ROW(E36)-1))</f>
        <v xml:space="preserve">16.4 </v>
      </c>
    </row>
    <row r="37" spans="1:6" x14ac:dyDescent="0.35">
      <c r="A37" t="s">
        <v>38</v>
      </c>
      <c r="E37" t="str" cm="1">
        <f t="array" aca="1" ref="E37" ca="1">INDIRECT(CONCATENATE("A", 2 * ROW(E37)-2))</f>
        <v xml:space="preserve">20 </v>
      </c>
      <c r="F37" t="str" cm="1">
        <f t="array" aca="1" ref="F37" ca="1">INDIRECT(CONCATENATE("A", 2 * ROW(E37)-1))</f>
        <v xml:space="preserve">17.0 </v>
      </c>
    </row>
    <row r="38" spans="1:6" x14ac:dyDescent="0.35">
      <c r="A38" t="s">
        <v>39</v>
      </c>
      <c r="E38" t="str" cm="1">
        <f t="array" aca="1" ref="E38" ca="1">INDIRECT(CONCATENATE("A", 2 * ROW(E38)-2))</f>
        <v xml:space="preserve">25 </v>
      </c>
      <c r="F38" t="str" cm="1">
        <f t="array" aca="1" ref="F38" ca="1">INDIRECT(CONCATENATE("A", 2 * ROW(E38)-1))</f>
        <v xml:space="preserve">17.8 </v>
      </c>
    </row>
    <row r="39" spans="1:6" x14ac:dyDescent="0.35">
      <c r="A39" t="s">
        <v>40</v>
      </c>
      <c r="E39" t="str" cm="1">
        <f t="array" aca="1" ref="E39" ca="1">INDIRECT(CONCATENATE("A", 2 * ROW(E39)-2))</f>
        <v xml:space="preserve">30 </v>
      </c>
      <c r="F39" t="str" cm="1">
        <f t="array" aca="1" ref="F39" ca="1">INDIRECT(CONCATENATE("A", 2 * ROW(E39)-1))</f>
        <v xml:space="preserve">18.0 </v>
      </c>
    </row>
    <row r="40" spans="1:6" x14ac:dyDescent="0.35">
      <c r="A40" t="s">
        <v>41</v>
      </c>
      <c r="E40" t="str" cm="1">
        <f t="array" aca="1" ref="E40" ca="1">INDIRECT(CONCATENATE("A", 2 * ROW(E40)-2))</f>
        <v xml:space="preserve">35 </v>
      </c>
      <c r="F40" t="str" cm="1">
        <f t="array" aca="1" ref="F40" ca="1">INDIRECT(CONCATENATE("A", 2 * ROW(E40)-1))</f>
        <v xml:space="preserve">17.6 </v>
      </c>
    </row>
    <row r="41" spans="1:6" x14ac:dyDescent="0.35">
      <c r="A41" t="s">
        <v>42</v>
      </c>
      <c r="E41" t="str" cm="1">
        <f t="array" aca="1" ref="E41" ca="1">INDIRECT(CONCATENATE("A", 2 * ROW(E41)-2))</f>
        <v xml:space="preserve">40 </v>
      </c>
      <c r="F41" t="str" cm="1">
        <f t="array" aca="1" ref="F41" ca="1">INDIRECT(CONCATENATE("A", 2 * ROW(E41)-1))</f>
        <v xml:space="preserve">17.0 </v>
      </c>
    </row>
    <row r="42" spans="1:6" x14ac:dyDescent="0.35">
      <c r="A42" t="s">
        <v>43</v>
      </c>
      <c r="E42" t="str" cm="1">
        <f t="array" aca="1" ref="E42" ca="1">INDIRECT(CONCATENATE("A", 2 * ROW(E42)-2))</f>
        <v xml:space="preserve">45 </v>
      </c>
      <c r="F42" t="str" cm="1">
        <f t="array" aca="1" ref="F42" ca="1">INDIRECT(CONCATENATE("A", 2 * ROW(E42)-1))</f>
        <v xml:space="preserve">16.4 </v>
      </c>
    </row>
    <row r="43" spans="1:6" x14ac:dyDescent="0.35">
      <c r="A43" t="s">
        <v>44</v>
      </c>
      <c r="E43" t="str" cm="1">
        <f t="array" aca="1" ref="E43" ca="1">INDIRECT(CONCATENATE("A", 2 * ROW(E43)-2))</f>
        <v xml:space="preserve">50 </v>
      </c>
      <c r="F43" t="str" cm="1">
        <f t="array" aca="1" ref="F43" ca="1">INDIRECT(CONCATENATE("A", 2 * ROW(E43)-1))</f>
        <v xml:space="preserve">15.8 </v>
      </c>
    </row>
    <row r="44" spans="1:6" x14ac:dyDescent="0.35">
      <c r="A44" t="s">
        <v>45</v>
      </c>
      <c r="E44" t="str" cm="1">
        <f t="array" aca="1" ref="E44" ca="1">INDIRECT(CONCATENATE("A", 2 * ROW(E44)-2))</f>
        <v xml:space="preserve">60 </v>
      </c>
      <c r="F44" t="str" cm="1">
        <f t="array" aca="1" ref="F44" ca="1">INDIRECT(CONCATENATE("A", 2 * ROW(E44)-1))</f>
        <v xml:space="preserve">14.8 </v>
      </c>
    </row>
    <row r="45" spans="1:6" x14ac:dyDescent="0.35">
      <c r="A45" t="s">
        <v>46</v>
      </c>
      <c r="E45" t="str" cm="1">
        <f t="array" aca="1" ref="E45" ca="1">INDIRECT(CONCATENATE("A", 2 * ROW(E45)-2))</f>
        <v xml:space="preserve">70 </v>
      </c>
      <c r="F45" t="str" cm="1">
        <f t="array" aca="1" ref="F45" ca="1">INDIRECT(CONCATENATE("A", 2 * ROW(E45)-1))</f>
        <v xml:space="preserve">13.5 </v>
      </c>
    </row>
    <row r="46" spans="1:6" x14ac:dyDescent="0.35">
      <c r="A46" t="s">
        <v>47</v>
      </c>
      <c r="E46" t="str" cm="1">
        <f t="array" aca="1" ref="E46" ca="1">INDIRECT(CONCATENATE("A", 2 * ROW(E46)-2))</f>
        <v xml:space="preserve">80 </v>
      </c>
      <c r="F46" t="str" cm="1">
        <f t="array" aca="1" ref="F46" ca="1">INDIRECT(CONCATENATE("A", 2 * ROW(E46)-1))</f>
        <v xml:space="preserve">13.5 </v>
      </c>
    </row>
    <row r="47" spans="1:6" x14ac:dyDescent="0.35">
      <c r="A47" t="s">
        <v>48</v>
      </c>
      <c r="E47" t="str" cm="1">
        <f t="array" aca="1" ref="E47" ca="1">INDIRECT(CONCATENATE("A", 2 * ROW(E47)-2))</f>
        <v xml:space="preserve">90 </v>
      </c>
      <c r="F47" t="str" cm="1">
        <f t="array" aca="1" ref="F47" ca="1">INDIRECT(CONCATENATE("A", 2 * ROW(E47)-1))</f>
        <v xml:space="preserve">13.1 </v>
      </c>
    </row>
    <row r="48" spans="1:6" x14ac:dyDescent="0.35">
      <c r="A48" t="s">
        <v>49</v>
      </c>
      <c r="E48" t="str" cm="1">
        <f t="array" aca="1" ref="E48" ca="1">INDIRECT(CONCATENATE("A", 2 * ROW(E48)-2))</f>
        <v xml:space="preserve">100 </v>
      </c>
      <c r="F48" t="str" cm="1">
        <f t="array" aca="1" ref="F48" ca="1">INDIRECT(CONCATENATE("A", 2 * ROW(E48)-1))</f>
        <v xml:space="preserve">12.6 </v>
      </c>
    </row>
    <row r="49" spans="1:6" x14ac:dyDescent="0.35">
      <c r="A49" t="s">
        <v>50</v>
      </c>
      <c r="E49" t="str" cm="1">
        <f t="array" aca="1" ref="E49" ca="1">INDIRECT(CONCATENATE("A", 2 * ROW(E49)-2))</f>
        <v xml:space="preserve">120 </v>
      </c>
      <c r="F49" t="str" cm="1">
        <f t="array" aca="1" ref="F49" ca="1">INDIRECT(CONCATENATE("A", 2 * ROW(E49)-1))</f>
        <v xml:space="preserve">11.8 </v>
      </c>
    </row>
    <row r="50" spans="1:6" x14ac:dyDescent="0.35">
      <c r="A50" t="s">
        <v>51</v>
      </c>
      <c r="E50" t="str" cm="1">
        <f t="array" aca="1" ref="E50" ca="1">INDIRECT(CONCATENATE("A", 2 * ROW(E50)-2))</f>
        <v xml:space="preserve">150 </v>
      </c>
      <c r="F50" t="str" cm="1">
        <f t="array" aca="1" ref="F50" ca="1">INDIRECT(CONCATENATE("A", 2 * ROW(E50)-1))</f>
        <v xml:space="preserve">10.6 </v>
      </c>
    </row>
    <row r="51" spans="1:6" x14ac:dyDescent="0.35">
      <c r="A51" t="s">
        <v>52</v>
      </c>
      <c r="E51" t="str" cm="1">
        <f t="array" aca="1" ref="E51" ca="1">INDIRECT(CONCATENATE("A", 2 * ROW(E51)-2))</f>
        <v xml:space="preserve">170 </v>
      </c>
      <c r="F51" t="str" cm="1">
        <f t="array" aca="1" ref="F51" ca="1">INDIRECT(CONCATENATE("A", 2 * ROW(E51)-1))</f>
        <v xml:space="preserve">10.0 </v>
      </c>
    </row>
    <row r="52" spans="1:6" x14ac:dyDescent="0.35">
      <c r="A52" t="s">
        <v>53</v>
      </c>
      <c r="E52" t="str" cm="1">
        <f t="array" aca="1" ref="E52" ca="1">INDIRECT(CONCATENATE("A", 2 * ROW(E52)-2))</f>
        <v xml:space="preserve">200 </v>
      </c>
      <c r="F52" t="str" cm="1">
        <f t="array" aca="1" ref="F52" ca="1">INDIRECT(CONCATENATE("A", 2 * ROW(E52)-1))</f>
        <v xml:space="preserve">9.24 </v>
      </c>
    </row>
    <row r="53" spans="1:6" x14ac:dyDescent="0.35">
      <c r="A53" t="s">
        <v>54</v>
      </c>
      <c r="E53" t="str" cm="1">
        <f t="array" aca="1" ref="E53" ca="1">INDIRECT(CONCATENATE("A", 2 * ROW(E53)-2))</f>
        <v xml:space="preserve">250 </v>
      </c>
      <c r="F53" t="str" cm="1">
        <f t="array" aca="1" ref="F53" ca="1">INDIRECT(CONCATENATE("A", 2 * ROW(E53)-1))</f>
        <v xml:space="preserve">8.20 </v>
      </c>
    </row>
    <row r="54" spans="1:6" x14ac:dyDescent="0.35">
      <c r="A54" t="s">
        <v>55</v>
      </c>
      <c r="E54" t="str" cm="1">
        <f t="array" aca="1" ref="E54" ca="1">INDIRECT(CONCATENATE("A", 2 * ROW(E54)-2))</f>
        <v xml:space="preserve">300 </v>
      </c>
      <c r="F54" t="str" cm="1">
        <f t="array" aca="1" ref="F54" ca="1">INDIRECT(CONCATENATE("A", 2 * ROW(E54)-1))</f>
        <v xml:space="preserve">7.39 </v>
      </c>
    </row>
    <row r="55" spans="1:6" x14ac:dyDescent="0.35">
      <c r="A55" t="s">
        <v>56</v>
      </c>
      <c r="E55" t="str" cm="1">
        <f t="array" aca="1" ref="E55" ca="1">INDIRECT(CONCATENATE("A", 2 * ROW(E55)-2))</f>
        <v xml:space="preserve">250 </v>
      </c>
      <c r="F55" t="str" cm="1">
        <f t="array" aca="1" ref="F55" ca="1">INDIRECT(CONCATENATE("A", 2 * ROW(E55)-1))</f>
        <v xml:space="preserve">6.73 </v>
      </c>
    </row>
    <row r="56" spans="1:6" x14ac:dyDescent="0.35">
      <c r="A56" t="s">
        <v>57</v>
      </c>
      <c r="E56" t="str" cm="1">
        <f t="array" aca="1" ref="E56" ca="1">INDIRECT(CONCATENATE("A", 2 * ROW(E56)-2))</f>
        <v xml:space="preserve">300 </v>
      </c>
      <c r="F56" t="str" cm="1">
        <f t="array" aca="1" ref="F56" ca="1">INDIRECT(CONCATENATE("A", 2 * ROW(E56)-1))</f>
        <v xml:space="preserve">7.39 </v>
      </c>
    </row>
    <row r="57" spans="1:6" x14ac:dyDescent="0.35">
      <c r="A57" t="s">
        <v>58</v>
      </c>
      <c r="E57" t="str" cm="1">
        <f t="array" aca="1" ref="E57" ca="1">INDIRECT(CONCATENATE("A", 2 * ROW(E57)-2))</f>
        <v xml:space="preserve">350 </v>
      </c>
      <c r="F57" t="str" cm="1">
        <f t="array" aca="1" ref="F57" ca="1">INDIRECT(CONCATENATE("A", 2 * ROW(E57)-1))</f>
        <v xml:space="preserve">6.73 </v>
      </c>
    </row>
    <row r="58" spans="1:6" x14ac:dyDescent="0.35">
      <c r="A58" t="s">
        <v>59</v>
      </c>
      <c r="E58" t="str" cm="1">
        <f t="array" aca="1" ref="E58" ca="1">INDIRECT(CONCATENATE("A", 2 * ROW(E58)-2))</f>
        <v xml:space="preserve">400 </v>
      </c>
      <c r="F58" t="str" cm="1">
        <f t="array" aca="1" ref="F58" ca="1">INDIRECT(CONCATENATE("A", 2 * ROW(E58)-1))</f>
        <v xml:space="preserve">6.08 </v>
      </c>
    </row>
    <row r="59" spans="1:6" x14ac:dyDescent="0.35">
      <c r="A59" t="s">
        <v>60</v>
      </c>
      <c r="E59" t="str" cm="1">
        <f t="array" aca="1" ref="E59" ca="1">INDIRECT(CONCATENATE("A", 2 * ROW(E59)-2))</f>
        <v xml:space="preserve">450 </v>
      </c>
      <c r="F59" t="str" cm="1">
        <f t="array" aca="1" ref="F59" ca="1">INDIRECT(CONCATENATE("A", 2 * ROW(E59)-1))</f>
        <v xml:space="preserve">5.62 </v>
      </c>
    </row>
    <row r="60" spans="1:6" x14ac:dyDescent="0.35">
      <c r="A60" t="s">
        <v>61</v>
      </c>
      <c r="E60" t="str" cm="1">
        <f t="array" aca="1" ref="E60" ca="1">INDIRECT(CONCATENATE("A", 2 * ROW(E60)-2))</f>
        <v xml:space="preserve">500 </v>
      </c>
      <c r="F60" t="str" cm="1">
        <f t="array" aca="1" ref="F60" ca="1">INDIRECT(CONCATENATE("A", 2 * ROW(E60)-1))</f>
        <v xml:space="preserve">5.23 </v>
      </c>
    </row>
    <row r="61" spans="1:6" x14ac:dyDescent="0.35">
      <c r="A61" t="s">
        <v>62</v>
      </c>
      <c r="E61" t="str" cm="1">
        <f t="array" aca="1" ref="E61" ca="1">INDIRECT(CONCATENATE("A", 2 * ROW(E61)-2))</f>
        <v xml:space="preserve">600 </v>
      </c>
      <c r="F61" t="str" cm="1">
        <f t="array" aca="1" ref="F61" ca="1">INDIRECT(CONCATENATE("A", 2 * ROW(E61)-1))</f>
        <v xml:space="preserve">4.63 </v>
      </c>
    </row>
    <row r="62" spans="1:6" x14ac:dyDescent="0.35">
      <c r="A62" t="s">
        <v>63</v>
      </c>
      <c r="E62" t="str" cm="1">
        <f t="array" aca="1" ref="E62" ca="1">INDIRECT(CONCATENATE("A", 2 * ROW(E62)-2))</f>
        <v xml:space="preserve">700 </v>
      </c>
      <c r="F62" t="str" cm="1">
        <f t="array" aca="1" ref="F62" ca="1">INDIRECT(CONCATENATE("A", 2 * ROW(E62)-1))</f>
        <v xml:space="preserve">4.16 </v>
      </c>
    </row>
    <row r="63" spans="1:6" x14ac:dyDescent="0.35">
      <c r="A63" t="s">
        <v>54</v>
      </c>
      <c r="E63" t="str" cm="1">
        <f t="array" aca="1" ref="E63" ca="1">INDIRECT(CONCATENATE("A", 2 * ROW(E63)-2))</f>
        <v xml:space="preserve">800 </v>
      </c>
      <c r="F63" t="str" cm="1">
        <f t="array" aca="1" ref="F63" ca="1">INDIRECT(CONCATENATE("A", 2 * ROW(E63)-1))</f>
        <v xml:space="preserve">3.78 </v>
      </c>
    </row>
    <row r="64" spans="1:6" x14ac:dyDescent="0.35">
      <c r="A64" t="s">
        <v>64</v>
      </c>
      <c r="E64" t="str" cm="1">
        <f t="array" aca="1" ref="E64" ca="1">INDIRECT(CONCATENATE("A", 2 * ROW(E64)-2))</f>
        <v xml:space="preserve">900 </v>
      </c>
      <c r="F64" t="str" cm="1">
        <f t="array" aca="1" ref="F64" ca="1">INDIRECT(CONCATENATE("A", 2 * ROW(E64)-1))</f>
        <v xml:space="preserve">3.47 </v>
      </c>
    </row>
    <row r="65" spans="1:6" x14ac:dyDescent="0.35">
      <c r="A65" t="s">
        <v>65</v>
      </c>
      <c r="E65" t="str" cm="1">
        <f t="array" aca="1" ref="E65" ca="1">INDIRECT(CONCATENATE("A", 2 * ROW(E65)-2))</f>
        <v xml:space="preserve">1000 </v>
      </c>
      <c r="F65" t="str" cm="1">
        <f t="array" aca="1" ref="F65" ca="1">INDIRECT(CONCATENATE("A", 2 * ROW(E65)-1))</f>
        <v xml:space="preserve">3.20 </v>
      </c>
    </row>
    <row r="66" spans="1:6" x14ac:dyDescent="0.35">
      <c r="A66" t="s">
        <v>66</v>
      </c>
    </row>
    <row r="67" spans="1:6" x14ac:dyDescent="0.35">
      <c r="A67" t="s">
        <v>67</v>
      </c>
    </row>
    <row r="68" spans="1:6" x14ac:dyDescent="0.35">
      <c r="A68" t="s">
        <v>68</v>
      </c>
    </row>
    <row r="69" spans="1:6" x14ac:dyDescent="0.35">
      <c r="A69" t="s">
        <v>50</v>
      </c>
    </row>
    <row r="70" spans="1:6" x14ac:dyDescent="0.35">
      <c r="A70" t="s">
        <v>69</v>
      </c>
    </row>
    <row r="71" spans="1:6" x14ac:dyDescent="0.35">
      <c r="A71" t="s">
        <v>70</v>
      </c>
    </row>
    <row r="72" spans="1:6" x14ac:dyDescent="0.35">
      <c r="A72" t="s">
        <v>71</v>
      </c>
    </row>
    <row r="73" spans="1:6" x14ac:dyDescent="0.35">
      <c r="A73" t="s">
        <v>22</v>
      </c>
    </row>
    <row r="74" spans="1:6" x14ac:dyDescent="0.35">
      <c r="A74" t="s">
        <v>72</v>
      </c>
    </row>
    <row r="75" spans="1:6" x14ac:dyDescent="0.35">
      <c r="A75" t="s">
        <v>73</v>
      </c>
    </row>
    <row r="76" spans="1:6" x14ac:dyDescent="0.35">
      <c r="A76" t="s">
        <v>74</v>
      </c>
    </row>
    <row r="77" spans="1:6" x14ac:dyDescent="0.35">
      <c r="A77" t="s">
        <v>75</v>
      </c>
    </row>
    <row r="78" spans="1:6" x14ac:dyDescent="0.35">
      <c r="A78" t="s">
        <v>76</v>
      </c>
    </row>
    <row r="79" spans="1:6" x14ac:dyDescent="0.35">
      <c r="A79" t="s">
        <v>77</v>
      </c>
    </row>
    <row r="80" spans="1:6" x14ac:dyDescent="0.35">
      <c r="A80" t="s">
        <v>78</v>
      </c>
    </row>
    <row r="81" spans="1:1" x14ac:dyDescent="0.35">
      <c r="A81" t="s">
        <v>22</v>
      </c>
    </row>
    <row r="82" spans="1:1" x14ac:dyDescent="0.35">
      <c r="A82" t="s">
        <v>79</v>
      </c>
    </row>
    <row r="83" spans="1:1" x14ac:dyDescent="0.35">
      <c r="A83" t="s">
        <v>70</v>
      </c>
    </row>
    <row r="84" spans="1:1" x14ac:dyDescent="0.35">
      <c r="A84" t="s">
        <v>80</v>
      </c>
    </row>
    <row r="85" spans="1:1" x14ac:dyDescent="0.35">
      <c r="A85" t="s">
        <v>50</v>
      </c>
    </row>
    <row r="86" spans="1:1" x14ac:dyDescent="0.35">
      <c r="A86" t="s">
        <v>81</v>
      </c>
    </row>
    <row r="87" spans="1:1" x14ac:dyDescent="0.35">
      <c r="A87" t="s">
        <v>82</v>
      </c>
    </row>
    <row r="88" spans="1:1" x14ac:dyDescent="0.35">
      <c r="A88" t="s">
        <v>83</v>
      </c>
    </row>
    <row r="89" spans="1:1" x14ac:dyDescent="0.35">
      <c r="A89" t="s">
        <v>84</v>
      </c>
    </row>
    <row r="90" spans="1:1" x14ac:dyDescent="0.35">
      <c r="A90" t="s">
        <v>85</v>
      </c>
    </row>
    <row r="91" spans="1:1" x14ac:dyDescent="0.35">
      <c r="A91" t="s">
        <v>84</v>
      </c>
    </row>
    <row r="92" spans="1:1" x14ac:dyDescent="0.35">
      <c r="A92" t="s">
        <v>86</v>
      </c>
    </row>
    <row r="93" spans="1:1" x14ac:dyDescent="0.35">
      <c r="A93" t="s">
        <v>87</v>
      </c>
    </row>
    <row r="94" spans="1:1" x14ac:dyDescent="0.35">
      <c r="A94" t="s">
        <v>88</v>
      </c>
    </row>
    <row r="95" spans="1:1" x14ac:dyDescent="0.35">
      <c r="A95" t="s">
        <v>89</v>
      </c>
    </row>
    <row r="96" spans="1:1" x14ac:dyDescent="0.35">
      <c r="A96" t="s">
        <v>90</v>
      </c>
    </row>
    <row r="97" spans="1:1" x14ac:dyDescent="0.35">
      <c r="A97" t="s">
        <v>91</v>
      </c>
    </row>
    <row r="98" spans="1:1" x14ac:dyDescent="0.35">
      <c r="A98" t="s">
        <v>92</v>
      </c>
    </row>
    <row r="99" spans="1:1" x14ac:dyDescent="0.35">
      <c r="A99" t="s">
        <v>93</v>
      </c>
    </row>
    <row r="100" spans="1:1" x14ac:dyDescent="0.35">
      <c r="A100" t="s">
        <v>94</v>
      </c>
    </row>
    <row r="101" spans="1:1" x14ac:dyDescent="0.35">
      <c r="A101" t="s">
        <v>95</v>
      </c>
    </row>
    <row r="102" spans="1:1" x14ac:dyDescent="0.35">
      <c r="A102" t="s">
        <v>96</v>
      </c>
    </row>
    <row r="103" spans="1:1" x14ac:dyDescent="0.35">
      <c r="A103" t="s">
        <v>97</v>
      </c>
    </row>
    <row r="104" spans="1:1" x14ac:dyDescent="0.35">
      <c r="A104" t="s">
        <v>98</v>
      </c>
    </row>
    <row r="105" spans="1:1" x14ac:dyDescent="0.35">
      <c r="A105" t="s">
        <v>99</v>
      </c>
    </row>
    <row r="106" spans="1:1" x14ac:dyDescent="0.35">
      <c r="A106" t="s">
        <v>100</v>
      </c>
    </row>
    <row r="107" spans="1:1" x14ac:dyDescent="0.35">
      <c r="A107" t="s">
        <v>101</v>
      </c>
    </row>
    <row r="108" spans="1:1" x14ac:dyDescent="0.35">
      <c r="A108" t="s">
        <v>98</v>
      </c>
    </row>
    <row r="109" spans="1:1" x14ac:dyDescent="0.35">
      <c r="A109" t="s">
        <v>102</v>
      </c>
    </row>
    <row r="110" spans="1:1" x14ac:dyDescent="0.35">
      <c r="A110" t="s">
        <v>100</v>
      </c>
    </row>
    <row r="111" spans="1:1" x14ac:dyDescent="0.35">
      <c r="A111" t="s">
        <v>101</v>
      </c>
    </row>
    <row r="112" spans="1:1" x14ac:dyDescent="0.35">
      <c r="A112" t="s">
        <v>103</v>
      </c>
    </row>
    <row r="113" spans="1:1" x14ac:dyDescent="0.35">
      <c r="A113" t="s">
        <v>102</v>
      </c>
    </row>
    <row r="114" spans="1:1" x14ac:dyDescent="0.35">
      <c r="A114" t="s">
        <v>104</v>
      </c>
    </row>
    <row r="115" spans="1:1" x14ac:dyDescent="0.35">
      <c r="A115" t="s">
        <v>105</v>
      </c>
    </row>
    <row r="116" spans="1:1" x14ac:dyDescent="0.35">
      <c r="A116" t="s">
        <v>106</v>
      </c>
    </row>
    <row r="117" spans="1:1" x14ac:dyDescent="0.35">
      <c r="A117" t="s">
        <v>107</v>
      </c>
    </row>
    <row r="118" spans="1:1" x14ac:dyDescent="0.35">
      <c r="A118" t="s">
        <v>108</v>
      </c>
    </row>
    <row r="119" spans="1:1" x14ac:dyDescent="0.35">
      <c r="A119" t="s">
        <v>109</v>
      </c>
    </row>
    <row r="120" spans="1:1" x14ac:dyDescent="0.35">
      <c r="A120" t="s">
        <v>110</v>
      </c>
    </row>
    <row r="121" spans="1:1" x14ac:dyDescent="0.35">
      <c r="A121" t="s">
        <v>111</v>
      </c>
    </row>
    <row r="122" spans="1:1" x14ac:dyDescent="0.35">
      <c r="A122" t="s">
        <v>112</v>
      </c>
    </row>
    <row r="123" spans="1:1" x14ac:dyDescent="0.35">
      <c r="A123" t="s">
        <v>113</v>
      </c>
    </row>
    <row r="124" spans="1:1" x14ac:dyDescent="0.35">
      <c r="A124" t="s">
        <v>114</v>
      </c>
    </row>
    <row r="125" spans="1:1" x14ac:dyDescent="0.35">
      <c r="A125" t="s">
        <v>115</v>
      </c>
    </row>
    <row r="126" spans="1:1" x14ac:dyDescent="0.35">
      <c r="A126" t="s">
        <v>116</v>
      </c>
    </row>
    <row r="127" spans="1:1" x14ac:dyDescent="0.35">
      <c r="A127" t="s">
        <v>117</v>
      </c>
    </row>
    <row r="128" spans="1:1" x14ac:dyDescent="0.35">
      <c r="A128" t="s">
        <v>118</v>
      </c>
    </row>
    <row r="129" spans="1:1" x14ac:dyDescent="0.35">
      <c r="A129" t="s">
        <v>119</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FEECCF1-D3E2-4A66-B42D-AF95DCDA807E}">
  <dimension ref="A2:L65"/>
  <sheetViews>
    <sheetView workbookViewId="0">
      <selection activeCell="K3" sqref="K3:K32"/>
    </sheetView>
  </sheetViews>
  <sheetFormatPr defaultRowHeight="14.5" x14ac:dyDescent="0.35"/>
  <sheetData>
    <row r="2" spans="1:12" x14ac:dyDescent="0.35">
      <c r="A2" t="s">
        <v>272</v>
      </c>
      <c r="B2">
        <f t="shared" ref="B2:B32" si="0">FIND(" ", A2)</f>
        <v>7</v>
      </c>
      <c r="C2">
        <f t="shared" ref="C2:C23" si="1" xml:space="preserve"> FIND(" ", A2, B2+1)</f>
        <v>9</v>
      </c>
      <c r="D2" t="str">
        <f t="shared" ref="D2:D23" si="2">LEFT(A2, B2-1)</f>
        <v>11.048</v>
      </c>
      <c r="E2" t="str">
        <f t="shared" ref="E2:E23" si="3" xml:space="preserve"> RIGHT(LEFT(A2,C2-1),C2-B2-1)</f>
        <v>0</v>
      </c>
      <c r="H2" t="s">
        <v>303</v>
      </c>
      <c r="I2" t="s">
        <v>304</v>
      </c>
      <c r="J2" t="s">
        <v>396</v>
      </c>
      <c r="K2" t="s">
        <v>304</v>
      </c>
      <c r="L2">
        <f>J2-H2</f>
        <v>0.33699999999999974</v>
      </c>
    </row>
    <row r="3" spans="1:12" x14ac:dyDescent="0.35">
      <c r="A3" t="s">
        <v>273</v>
      </c>
      <c r="B3">
        <f t="shared" si="0"/>
        <v>3</v>
      </c>
      <c r="C3">
        <f t="shared" si="1"/>
        <v>9</v>
      </c>
      <c r="D3" t="str">
        <f t="shared" si="2"/>
        <v>12</v>
      </c>
      <c r="E3" t="str">
        <f t="shared" si="3"/>
        <v>0.877</v>
      </c>
      <c r="H3" t="s">
        <v>305</v>
      </c>
      <c r="I3" t="s">
        <v>306</v>
      </c>
      <c r="J3" t="s">
        <v>305</v>
      </c>
      <c r="K3" t="s">
        <v>397</v>
      </c>
      <c r="L3">
        <f t="shared" ref="L3:L32" si="4">J3-H3</f>
        <v>0</v>
      </c>
    </row>
    <row r="4" spans="1:12" x14ac:dyDescent="0.35">
      <c r="A4" t="s">
        <v>274</v>
      </c>
      <c r="B4">
        <f t="shared" si="0"/>
        <v>3</v>
      </c>
      <c r="C4">
        <f t="shared" si="1"/>
        <v>9</v>
      </c>
      <c r="D4" t="str">
        <f t="shared" si="2"/>
        <v>13</v>
      </c>
      <c r="E4" t="str">
        <f t="shared" si="3"/>
        <v>1.484</v>
      </c>
      <c r="H4" t="s">
        <v>307</v>
      </c>
      <c r="I4" t="s">
        <v>308</v>
      </c>
      <c r="J4" t="s">
        <v>307</v>
      </c>
      <c r="K4" t="s">
        <v>398</v>
      </c>
      <c r="L4">
        <f t="shared" si="4"/>
        <v>0</v>
      </c>
    </row>
    <row r="5" spans="1:12" x14ac:dyDescent="0.35">
      <c r="A5" t="s">
        <v>275</v>
      </c>
      <c r="B5">
        <f t="shared" si="0"/>
        <v>3</v>
      </c>
      <c r="C5">
        <f t="shared" si="1"/>
        <v>9</v>
      </c>
      <c r="D5" t="str">
        <f t="shared" si="2"/>
        <v>14</v>
      </c>
      <c r="E5" t="str">
        <f t="shared" si="3"/>
        <v>2.081</v>
      </c>
      <c r="H5" t="s">
        <v>309</v>
      </c>
      <c r="I5" t="s">
        <v>310</v>
      </c>
      <c r="J5" t="s">
        <v>309</v>
      </c>
      <c r="K5" t="s">
        <v>399</v>
      </c>
      <c r="L5">
        <f t="shared" si="4"/>
        <v>0</v>
      </c>
    </row>
    <row r="6" spans="1:12" x14ac:dyDescent="0.35">
      <c r="A6" t="s">
        <v>276</v>
      </c>
      <c r="B6">
        <f t="shared" si="0"/>
        <v>3</v>
      </c>
      <c r="C6">
        <f t="shared" si="1"/>
        <v>9</v>
      </c>
      <c r="D6" t="str">
        <f t="shared" si="2"/>
        <v>15</v>
      </c>
      <c r="E6" t="str">
        <f t="shared" si="3"/>
        <v>2.673</v>
      </c>
      <c r="H6" t="s">
        <v>311</v>
      </c>
      <c r="I6" t="s">
        <v>312</v>
      </c>
      <c r="J6" t="s">
        <v>311</v>
      </c>
      <c r="K6" t="s">
        <v>400</v>
      </c>
      <c r="L6">
        <f t="shared" si="4"/>
        <v>0</v>
      </c>
    </row>
    <row r="7" spans="1:12" x14ac:dyDescent="0.35">
      <c r="A7" t="s">
        <v>277</v>
      </c>
      <c r="B7">
        <f t="shared" si="0"/>
        <v>3</v>
      </c>
      <c r="C7">
        <f t="shared" si="1"/>
        <v>9</v>
      </c>
      <c r="D7" t="str">
        <f t="shared" si="2"/>
        <v>16</v>
      </c>
      <c r="E7" t="str">
        <f t="shared" si="3"/>
        <v>3.254</v>
      </c>
      <c r="H7" t="s">
        <v>313</v>
      </c>
      <c r="I7" t="s">
        <v>314</v>
      </c>
      <c r="J7" t="s">
        <v>313</v>
      </c>
      <c r="K7" t="s">
        <v>401</v>
      </c>
      <c r="L7">
        <f t="shared" si="4"/>
        <v>0</v>
      </c>
    </row>
    <row r="8" spans="1:12" x14ac:dyDescent="0.35">
      <c r="A8" t="s">
        <v>278</v>
      </c>
      <c r="B8">
        <f t="shared" si="0"/>
        <v>3</v>
      </c>
      <c r="C8">
        <f t="shared" si="1"/>
        <v>9</v>
      </c>
      <c r="D8" t="str">
        <f t="shared" si="2"/>
        <v>17</v>
      </c>
      <c r="E8" t="str">
        <f t="shared" si="3"/>
        <v>3.818</v>
      </c>
      <c r="H8" t="s">
        <v>315</v>
      </c>
      <c r="I8" t="s">
        <v>316</v>
      </c>
      <c r="J8" t="s">
        <v>315</v>
      </c>
      <c r="K8" t="s">
        <v>402</v>
      </c>
      <c r="L8">
        <f t="shared" si="4"/>
        <v>0</v>
      </c>
    </row>
    <row r="9" spans="1:12" x14ac:dyDescent="0.35">
      <c r="A9" t="s">
        <v>279</v>
      </c>
      <c r="B9">
        <f t="shared" si="0"/>
        <v>3</v>
      </c>
      <c r="C9">
        <f t="shared" si="1"/>
        <v>9</v>
      </c>
      <c r="D9" t="str">
        <f t="shared" si="2"/>
        <v>18</v>
      </c>
      <c r="E9" t="str">
        <f t="shared" si="3"/>
        <v>4.362</v>
      </c>
      <c r="H9" t="s">
        <v>317</v>
      </c>
      <c r="I9" t="s">
        <v>318</v>
      </c>
      <c r="J9" t="s">
        <v>317</v>
      </c>
      <c r="K9" t="s">
        <v>403</v>
      </c>
      <c r="L9">
        <f t="shared" si="4"/>
        <v>0</v>
      </c>
    </row>
    <row r="10" spans="1:12" x14ac:dyDescent="0.35">
      <c r="A10" t="s">
        <v>280</v>
      </c>
      <c r="B10">
        <f t="shared" si="0"/>
        <v>3</v>
      </c>
      <c r="C10">
        <f t="shared" si="1"/>
        <v>9</v>
      </c>
      <c r="D10" t="str">
        <f t="shared" si="2"/>
        <v>19</v>
      </c>
      <c r="E10" t="str">
        <f t="shared" ref="E10:E23" si="5" xml:space="preserve"> RIGHT(LEFT($A10,C10-1),C10-B10-1)</f>
        <v>4.883</v>
      </c>
      <c r="H10" t="s">
        <v>319</v>
      </c>
      <c r="I10" t="s">
        <v>320</v>
      </c>
      <c r="J10" t="s">
        <v>319</v>
      </c>
      <c r="K10" t="s">
        <v>404</v>
      </c>
      <c r="L10">
        <f t="shared" si="4"/>
        <v>0</v>
      </c>
    </row>
    <row r="11" spans="1:12" x14ac:dyDescent="0.35">
      <c r="A11" t="s">
        <v>281</v>
      </c>
      <c r="B11">
        <f t="shared" si="0"/>
        <v>3</v>
      </c>
      <c r="C11">
        <f t="shared" si="1"/>
        <v>9</v>
      </c>
      <c r="D11" t="str">
        <f t="shared" si="2"/>
        <v>20</v>
      </c>
      <c r="E11" t="str">
        <f t="shared" ref="E11:E23" si="6" xml:space="preserve"> RIGHT(LEFT(A11,C11-1),C11-B11-1)</f>
        <v>5.379</v>
      </c>
      <c r="H11" t="s">
        <v>321</v>
      </c>
      <c r="I11" t="s">
        <v>322</v>
      </c>
      <c r="J11" t="s">
        <v>321</v>
      </c>
      <c r="K11" t="s">
        <v>405</v>
      </c>
      <c r="L11">
        <f t="shared" si="4"/>
        <v>0</v>
      </c>
    </row>
    <row r="12" spans="1:12" x14ac:dyDescent="0.35">
      <c r="A12" t="s">
        <v>282</v>
      </c>
      <c r="B12">
        <f t="shared" si="0"/>
        <v>3</v>
      </c>
      <c r="C12">
        <f t="shared" si="1"/>
        <v>9</v>
      </c>
      <c r="D12" t="str">
        <f t="shared" si="2"/>
        <v>25</v>
      </c>
      <c r="E12" t="str">
        <f t="shared" si="6"/>
        <v>7.483</v>
      </c>
      <c r="H12" t="s">
        <v>323</v>
      </c>
      <c r="I12" t="s">
        <v>324</v>
      </c>
      <c r="J12" t="s">
        <v>323</v>
      </c>
      <c r="K12" t="s">
        <v>406</v>
      </c>
      <c r="L12">
        <f t="shared" si="4"/>
        <v>0</v>
      </c>
    </row>
    <row r="13" spans="1:12" x14ac:dyDescent="0.35">
      <c r="A13" t="s">
        <v>283</v>
      </c>
      <c r="B13">
        <f t="shared" si="0"/>
        <v>3</v>
      </c>
      <c r="C13">
        <f t="shared" si="1"/>
        <v>9</v>
      </c>
      <c r="D13" t="str">
        <f t="shared" si="2"/>
        <v>30</v>
      </c>
      <c r="E13" t="str">
        <f t="shared" si="6"/>
        <v>9.026</v>
      </c>
      <c r="H13" t="s">
        <v>325</v>
      </c>
      <c r="I13" t="s">
        <v>326</v>
      </c>
      <c r="J13" t="s">
        <v>325</v>
      </c>
      <c r="K13" t="s">
        <v>407</v>
      </c>
      <c r="L13">
        <f t="shared" si="4"/>
        <v>0</v>
      </c>
    </row>
    <row r="14" spans="1:12" x14ac:dyDescent="0.35">
      <c r="A14" t="s">
        <v>284</v>
      </c>
      <c r="B14">
        <f t="shared" si="0"/>
        <v>3</v>
      </c>
      <c r="C14">
        <f t="shared" si="1"/>
        <v>10</v>
      </c>
      <c r="D14" t="str">
        <f t="shared" si="2"/>
        <v>40</v>
      </c>
      <c r="E14" t="str">
        <f t="shared" si="6"/>
        <v>10.926</v>
      </c>
      <c r="H14" t="s">
        <v>327</v>
      </c>
      <c r="I14" t="s">
        <v>328</v>
      </c>
      <c r="J14" t="s">
        <v>327</v>
      </c>
      <c r="K14" t="s">
        <v>408</v>
      </c>
      <c r="L14">
        <f t="shared" si="4"/>
        <v>0</v>
      </c>
    </row>
    <row r="15" spans="1:12" x14ac:dyDescent="0.35">
      <c r="A15" t="s">
        <v>285</v>
      </c>
      <c r="B15">
        <f t="shared" si="0"/>
        <v>3</v>
      </c>
      <c r="C15">
        <f t="shared" si="1"/>
        <v>10</v>
      </c>
      <c r="D15" t="str">
        <f t="shared" si="2"/>
        <v>50</v>
      </c>
      <c r="E15" t="str">
        <f t="shared" si="6"/>
        <v>11.863</v>
      </c>
      <c r="H15" t="s">
        <v>329</v>
      </c>
      <c r="I15" t="s">
        <v>330</v>
      </c>
      <c r="J15" t="s">
        <v>329</v>
      </c>
      <c r="K15" t="s">
        <v>409</v>
      </c>
      <c r="L15">
        <f t="shared" si="4"/>
        <v>0</v>
      </c>
    </row>
    <row r="16" spans="1:12" x14ac:dyDescent="0.35">
      <c r="A16" t="s">
        <v>286</v>
      </c>
      <c r="B16">
        <f t="shared" si="0"/>
        <v>3</v>
      </c>
      <c r="C16">
        <f t="shared" si="1"/>
        <v>10</v>
      </c>
      <c r="D16" t="str">
        <f t="shared" si="2"/>
        <v>60</v>
      </c>
      <c r="E16" t="str">
        <f t="shared" si="6"/>
        <v>12.275</v>
      </c>
      <c r="H16" t="s">
        <v>331</v>
      </c>
      <c r="I16" t="s">
        <v>332</v>
      </c>
      <c r="J16" t="s">
        <v>331</v>
      </c>
      <c r="K16" t="s">
        <v>410</v>
      </c>
      <c r="L16">
        <f t="shared" si="4"/>
        <v>0</v>
      </c>
    </row>
    <row r="17" spans="1:12" x14ac:dyDescent="0.35">
      <c r="A17" t="s">
        <v>287</v>
      </c>
      <c r="B17">
        <f t="shared" si="0"/>
        <v>3</v>
      </c>
      <c r="C17">
        <f t="shared" si="1"/>
        <v>10</v>
      </c>
      <c r="D17" t="str">
        <f t="shared" si="2"/>
        <v>70</v>
      </c>
      <c r="E17" t="str">
        <f t="shared" si="6"/>
        <v>12.393</v>
      </c>
      <c r="H17" t="s">
        <v>333</v>
      </c>
      <c r="I17" t="s">
        <v>334</v>
      </c>
      <c r="J17" t="s">
        <v>333</v>
      </c>
      <c r="K17" t="s">
        <v>411</v>
      </c>
      <c r="L17">
        <f t="shared" si="4"/>
        <v>0</v>
      </c>
    </row>
    <row r="18" spans="1:12" x14ac:dyDescent="0.35">
      <c r="A18" t="s">
        <v>288</v>
      </c>
      <c r="B18">
        <f t="shared" si="0"/>
        <v>3</v>
      </c>
      <c r="C18">
        <f t="shared" si="1"/>
        <v>10</v>
      </c>
      <c r="D18" t="str">
        <f t="shared" si="2"/>
        <v>80</v>
      </c>
      <c r="E18" t="str">
        <f t="shared" si="6"/>
        <v>12.342</v>
      </c>
      <c r="H18" t="s">
        <v>335</v>
      </c>
      <c r="I18" t="s">
        <v>336</v>
      </c>
      <c r="J18" t="s">
        <v>335</v>
      </c>
      <c r="K18" t="s">
        <v>412</v>
      </c>
      <c r="L18">
        <f t="shared" si="4"/>
        <v>0</v>
      </c>
    </row>
    <row r="19" spans="1:12" x14ac:dyDescent="0.35">
      <c r="A19" t="s">
        <v>289</v>
      </c>
      <c r="B19">
        <f t="shared" si="0"/>
        <v>3</v>
      </c>
      <c r="C19">
        <f t="shared" si="1"/>
        <v>10</v>
      </c>
      <c r="D19" t="str">
        <f t="shared" si="2"/>
        <v>90</v>
      </c>
      <c r="E19" t="str">
        <f t="shared" si="6"/>
        <v>12.193</v>
      </c>
      <c r="H19" t="s">
        <v>337</v>
      </c>
      <c r="I19" t="s">
        <v>338</v>
      </c>
      <c r="J19" t="s">
        <v>337</v>
      </c>
      <c r="K19" t="s">
        <v>413</v>
      </c>
      <c r="L19">
        <f t="shared" si="4"/>
        <v>0</v>
      </c>
    </row>
    <row r="20" spans="1:12" x14ac:dyDescent="0.35">
      <c r="A20" t="s">
        <v>290</v>
      </c>
      <c r="B20">
        <f t="shared" si="0"/>
        <v>4</v>
      </c>
      <c r="C20">
        <f t="shared" si="1"/>
        <v>11</v>
      </c>
      <c r="D20" t="str">
        <f t="shared" si="2"/>
        <v>100</v>
      </c>
      <c r="E20" t="str">
        <f t="shared" si="6"/>
        <v>11.977</v>
      </c>
      <c r="H20" t="s">
        <v>339</v>
      </c>
      <c r="I20" t="s">
        <v>340</v>
      </c>
      <c r="J20" t="s">
        <v>339</v>
      </c>
      <c r="K20" t="s">
        <v>414</v>
      </c>
      <c r="L20">
        <f t="shared" si="4"/>
        <v>0</v>
      </c>
    </row>
    <row r="21" spans="1:12" x14ac:dyDescent="0.35">
      <c r="A21" t="s">
        <v>291</v>
      </c>
      <c r="B21">
        <f t="shared" si="0"/>
        <v>4</v>
      </c>
      <c r="C21">
        <f t="shared" si="1"/>
        <v>10</v>
      </c>
      <c r="D21" t="str">
        <f t="shared" si="2"/>
        <v>200</v>
      </c>
      <c r="E21" t="str">
        <f t="shared" ref="E21:E23" si="7" xml:space="preserve"> RIGHT(LEFT($A21,C21-1),C21-B21-1)</f>
        <v>9.555</v>
      </c>
      <c r="H21" t="s">
        <v>341</v>
      </c>
      <c r="I21" t="s">
        <v>342</v>
      </c>
      <c r="J21" t="s">
        <v>341</v>
      </c>
      <c r="K21" t="s">
        <v>415</v>
      </c>
      <c r="L21">
        <f t="shared" si="4"/>
        <v>0</v>
      </c>
    </row>
    <row r="22" spans="1:12" x14ac:dyDescent="0.35">
      <c r="A22" t="s">
        <v>292</v>
      </c>
      <c r="B22">
        <f t="shared" si="0"/>
        <v>4</v>
      </c>
      <c r="C22">
        <f t="shared" si="1"/>
        <v>10</v>
      </c>
      <c r="D22" t="str">
        <f t="shared" si="2"/>
        <v>300</v>
      </c>
      <c r="E22" t="str">
        <f t="shared" ref="E22:E31" si="8" xml:space="preserve"> RIGHT(LEFT(A22,C22-1),C22-B22-1)</f>
        <v>7.824</v>
      </c>
      <c r="H22" t="s">
        <v>343</v>
      </c>
      <c r="I22" t="s">
        <v>344</v>
      </c>
      <c r="J22" t="s">
        <v>343</v>
      </c>
      <c r="K22" t="s">
        <v>416</v>
      </c>
      <c r="L22">
        <f t="shared" si="4"/>
        <v>0</v>
      </c>
    </row>
    <row r="23" spans="1:12" x14ac:dyDescent="0.35">
      <c r="A23" t="s">
        <v>293</v>
      </c>
      <c r="B23">
        <f t="shared" si="0"/>
        <v>4</v>
      </c>
      <c r="C23">
        <f t="shared" si="1"/>
        <v>10</v>
      </c>
      <c r="D23" t="str">
        <f t="shared" si="2"/>
        <v>400</v>
      </c>
      <c r="E23" t="str">
        <f t="shared" si="8"/>
        <v>6.647</v>
      </c>
      <c r="H23" t="s">
        <v>345</v>
      </c>
      <c r="I23" t="s">
        <v>346</v>
      </c>
      <c r="J23" t="s">
        <v>345</v>
      </c>
      <c r="K23" t="s">
        <v>417</v>
      </c>
      <c r="L23">
        <f t="shared" si="4"/>
        <v>0</v>
      </c>
    </row>
    <row r="24" spans="1:12" x14ac:dyDescent="0.35">
      <c r="A24" t="s">
        <v>294</v>
      </c>
      <c r="B24">
        <f t="shared" si="0"/>
        <v>4</v>
      </c>
      <c r="C24">
        <f t="shared" ref="C24:C32" si="9" xml:space="preserve"> FIND(" ", A24, B24+1)</f>
        <v>10</v>
      </c>
      <c r="D24" t="str">
        <f t="shared" ref="D24:D32" si="10">LEFT(A24, B24-1)</f>
        <v>500</v>
      </c>
      <c r="E24" t="str">
        <f t="shared" si="8"/>
        <v>5.800</v>
      </c>
      <c r="H24" t="s">
        <v>347</v>
      </c>
      <c r="I24" t="s">
        <v>348</v>
      </c>
      <c r="J24" t="s">
        <v>347</v>
      </c>
      <c r="K24" t="s">
        <v>418</v>
      </c>
      <c r="L24">
        <f t="shared" si="4"/>
        <v>0</v>
      </c>
    </row>
    <row r="25" spans="1:12" x14ac:dyDescent="0.35">
      <c r="A25" t="s">
        <v>295</v>
      </c>
      <c r="B25">
        <f t="shared" si="0"/>
        <v>4</v>
      </c>
      <c r="C25">
        <f t="shared" si="9"/>
        <v>10</v>
      </c>
      <c r="D25" t="str">
        <f t="shared" si="10"/>
        <v>600</v>
      </c>
      <c r="E25" t="str">
        <f t="shared" si="8"/>
        <v>5.161</v>
      </c>
      <c r="H25" t="s">
        <v>349</v>
      </c>
      <c r="I25" t="s">
        <v>350</v>
      </c>
      <c r="J25" t="s">
        <v>349</v>
      </c>
      <c r="K25" t="s">
        <v>419</v>
      </c>
      <c r="L25">
        <f t="shared" si="4"/>
        <v>0</v>
      </c>
    </row>
    <row r="26" spans="1:12" x14ac:dyDescent="0.35">
      <c r="A26" t="s">
        <v>296</v>
      </c>
      <c r="B26">
        <f t="shared" si="0"/>
        <v>4</v>
      </c>
      <c r="C26">
        <f t="shared" si="9"/>
        <v>10</v>
      </c>
      <c r="D26" t="str">
        <f t="shared" si="10"/>
        <v>700</v>
      </c>
      <c r="E26" t="str">
        <f t="shared" si="8"/>
        <v>4.660</v>
      </c>
      <c r="H26" t="s">
        <v>351</v>
      </c>
      <c r="I26" t="s">
        <v>352</v>
      </c>
      <c r="J26" t="s">
        <v>351</v>
      </c>
      <c r="K26" t="s">
        <v>420</v>
      </c>
      <c r="L26">
        <f t="shared" si="4"/>
        <v>0</v>
      </c>
    </row>
    <row r="27" spans="1:12" x14ac:dyDescent="0.35">
      <c r="A27" t="s">
        <v>297</v>
      </c>
      <c r="B27">
        <f t="shared" si="0"/>
        <v>4</v>
      </c>
      <c r="C27">
        <f t="shared" si="9"/>
        <v>10</v>
      </c>
      <c r="D27" t="str">
        <f t="shared" si="10"/>
        <v>800</v>
      </c>
      <c r="E27" t="str">
        <f t="shared" si="8"/>
        <v>4.256</v>
      </c>
      <c r="H27" t="s">
        <v>353</v>
      </c>
      <c r="I27" t="s">
        <v>354</v>
      </c>
      <c r="J27" t="s">
        <v>353</v>
      </c>
      <c r="K27" t="s">
        <v>421</v>
      </c>
      <c r="L27">
        <f t="shared" si="4"/>
        <v>0</v>
      </c>
    </row>
    <row r="28" spans="1:12" x14ac:dyDescent="0.35">
      <c r="A28" t="s">
        <v>298</v>
      </c>
      <c r="B28">
        <f t="shared" si="0"/>
        <v>5</v>
      </c>
      <c r="C28">
        <f t="shared" si="9"/>
        <v>11</v>
      </c>
      <c r="D28" t="str">
        <f t="shared" si="10"/>
        <v>1000</v>
      </c>
      <c r="E28" t="str">
        <f t="shared" si="8"/>
        <v>3.643</v>
      </c>
      <c r="H28" t="s">
        <v>355</v>
      </c>
      <c r="I28" t="s">
        <v>356</v>
      </c>
      <c r="J28" t="s">
        <v>355</v>
      </c>
      <c r="K28" t="s">
        <v>422</v>
      </c>
      <c r="L28">
        <f t="shared" si="4"/>
        <v>0</v>
      </c>
    </row>
    <row r="29" spans="1:12" x14ac:dyDescent="0.35">
      <c r="A29" t="s">
        <v>299</v>
      </c>
      <c r="B29">
        <f t="shared" si="0"/>
        <v>5</v>
      </c>
      <c r="C29">
        <f t="shared" si="9"/>
        <v>11</v>
      </c>
      <c r="D29" t="str">
        <f t="shared" si="10"/>
        <v>2000</v>
      </c>
      <c r="E29" t="str">
        <f t="shared" si="8"/>
        <v>2.186</v>
      </c>
      <c r="H29" t="s">
        <v>357</v>
      </c>
      <c r="I29" t="s">
        <v>358</v>
      </c>
      <c r="J29" t="s">
        <v>357</v>
      </c>
      <c r="K29" t="s">
        <v>423</v>
      </c>
      <c r="L29">
        <f t="shared" si="4"/>
        <v>0</v>
      </c>
    </row>
    <row r="30" spans="1:12" x14ac:dyDescent="0.35">
      <c r="A30" t="s">
        <v>300</v>
      </c>
      <c r="B30">
        <f t="shared" si="0"/>
        <v>5</v>
      </c>
      <c r="C30">
        <f t="shared" si="9"/>
        <v>11</v>
      </c>
      <c r="D30" t="str">
        <f t="shared" si="10"/>
        <v>3000</v>
      </c>
      <c r="E30" t="str">
        <f t="shared" si="8"/>
        <v>1.598</v>
      </c>
      <c r="H30" t="s">
        <v>359</v>
      </c>
      <c r="I30" t="s">
        <v>360</v>
      </c>
      <c r="J30" t="s">
        <v>359</v>
      </c>
      <c r="K30" t="s">
        <v>424</v>
      </c>
      <c r="L30">
        <f t="shared" si="4"/>
        <v>0</v>
      </c>
    </row>
    <row r="31" spans="1:12" x14ac:dyDescent="0.35">
      <c r="A31" t="s">
        <v>301</v>
      </c>
      <c r="B31">
        <f t="shared" si="0"/>
        <v>5</v>
      </c>
      <c r="C31">
        <f t="shared" si="9"/>
        <v>11</v>
      </c>
      <c r="D31" t="str">
        <f t="shared" si="10"/>
        <v>4000</v>
      </c>
      <c r="E31" t="str">
        <f t="shared" si="8"/>
        <v>1.273</v>
      </c>
      <c r="H31" t="s">
        <v>361</v>
      </c>
      <c r="I31" t="s">
        <v>362</v>
      </c>
      <c r="J31" t="s">
        <v>361</v>
      </c>
      <c r="K31" t="s">
        <v>425</v>
      </c>
      <c r="L31">
        <f t="shared" si="4"/>
        <v>0</v>
      </c>
    </row>
    <row r="32" spans="1:12" x14ac:dyDescent="0.35">
      <c r="A32" t="s">
        <v>302</v>
      </c>
      <c r="B32">
        <f t="shared" si="0"/>
        <v>5</v>
      </c>
      <c r="C32">
        <f t="shared" si="9"/>
        <v>11</v>
      </c>
      <c r="D32" t="str">
        <f t="shared" si="10"/>
        <v>5000</v>
      </c>
      <c r="E32" t="str">
        <f t="shared" ref="E32" si="11" xml:space="preserve"> RIGHT(LEFT($A32,C32-1),C32-B32-1)</f>
        <v>1.064</v>
      </c>
      <c r="H32" t="s">
        <v>363</v>
      </c>
      <c r="I32" t="s">
        <v>364</v>
      </c>
      <c r="J32" t="s">
        <v>363</v>
      </c>
      <c r="K32" t="s">
        <v>426</v>
      </c>
      <c r="L32">
        <f t="shared" si="4"/>
        <v>0</v>
      </c>
    </row>
    <row r="35" spans="1:5" x14ac:dyDescent="0.35">
      <c r="A35" t="s">
        <v>365</v>
      </c>
      <c r="B35">
        <f t="shared" ref="B35:B65" si="12">FIND(" ", A35)</f>
        <v>7</v>
      </c>
      <c r="C35">
        <f t="shared" ref="C35:C65" si="13" xml:space="preserve"> FIND(" ", A35, B35+1)</f>
        <v>9</v>
      </c>
      <c r="D35" t="str">
        <f t="shared" ref="D35:D65" si="14">LEFT(A35, B35-1)</f>
        <v>11.385</v>
      </c>
      <c r="E35" t="str">
        <f t="shared" ref="E35:E56" si="15" xml:space="preserve"> RIGHT(LEFT(A35,C35-1),C35-B35-1)</f>
        <v>0</v>
      </c>
    </row>
    <row r="36" spans="1:5" x14ac:dyDescent="0.35">
      <c r="A36" t="s">
        <v>366</v>
      </c>
      <c r="B36">
        <f t="shared" si="12"/>
        <v>3</v>
      </c>
      <c r="C36">
        <f t="shared" si="13"/>
        <v>9</v>
      </c>
      <c r="D36" t="str">
        <f t="shared" si="14"/>
        <v>12</v>
      </c>
      <c r="E36" t="str">
        <f t="shared" si="15"/>
        <v>0.580</v>
      </c>
    </row>
    <row r="37" spans="1:5" x14ac:dyDescent="0.35">
      <c r="A37" t="s">
        <v>367</v>
      </c>
      <c r="B37">
        <f t="shared" si="12"/>
        <v>3</v>
      </c>
      <c r="C37">
        <f t="shared" si="13"/>
        <v>9</v>
      </c>
      <c r="D37" t="str">
        <f t="shared" si="14"/>
        <v>13</v>
      </c>
      <c r="E37" t="str">
        <f t="shared" si="15"/>
        <v>0.939</v>
      </c>
    </row>
    <row r="38" spans="1:5" x14ac:dyDescent="0.35">
      <c r="A38" t="s">
        <v>368</v>
      </c>
      <c r="B38">
        <f t="shared" si="12"/>
        <v>3</v>
      </c>
      <c r="C38">
        <f t="shared" si="13"/>
        <v>9</v>
      </c>
      <c r="D38" t="str">
        <f t="shared" si="14"/>
        <v>14</v>
      </c>
      <c r="E38" t="str">
        <f t="shared" si="15"/>
        <v>1.204</v>
      </c>
    </row>
    <row r="39" spans="1:5" x14ac:dyDescent="0.35">
      <c r="A39" t="s">
        <v>369</v>
      </c>
      <c r="B39">
        <f t="shared" si="12"/>
        <v>3</v>
      </c>
      <c r="C39">
        <f t="shared" si="13"/>
        <v>9</v>
      </c>
      <c r="D39" t="str">
        <f t="shared" si="14"/>
        <v>15</v>
      </c>
      <c r="E39" t="str">
        <f t="shared" si="15"/>
        <v>1.432</v>
      </c>
    </row>
    <row r="40" spans="1:5" x14ac:dyDescent="0.35">
      <c r="A40" t="s">
        <v>370</v>
      </c>
      <c r="B40">
        <f t="shared" si="12"/>
        <v>3</v>
      </c>
      <c r="C40">
        <f t="shared" si="13"/>
        <v>9</v>
      </c>
      <c r="D40" t="str">
        <f t="shared" si="14"/>
        <v>16</v>
      </c>
      <c r="E40" t="str">
        <f t="shared" si="15"/>
        <v>1.640</v>
      </c>
    </row>
    <row r="41" spans="1:5" x14ac:dyDescent="0.35">
      <c r="A41" t="s">
        <v>371</v>
      </c>
      <c r="B41">
        <f t="shared" si="12"/>
        <v>3</v>
      </c>
      <c r="C41">
        <f t="shared" si="13"/>
        <v>9</v>
      </c>
      <c r="D41" t="str">
        <f t="shared" si="14"/>
        <v>17</v>
      </c>
      <c r="E41" t="str">
        <f t="shared" si="15"/>
        <v>1.834</v>
      </c>
    </row>
    <row r="42" spans="1:5" x14ac:dyDescent="0.35">
      <c r="A42" t="s">
        <v>372</v>
      </c>
      <c r="B42">
        <f t="shared" si="12"/>
        <v>3</v>
      </c>
      <c r="C42">
        <f t="shared" si="13"/>
        <v>9</v>
      </c>
      <c r="D42" t="str">
        <f t="shared" si="14"/>
        <v>18</v>
      </c>
      <c r="E42" t="str">
        <f t="shared" si="15"/>
        <v>2.014</v>
      </c>
    </row>
    <row r="43" spans="1:5" x14ac:dyDescent="0.35">
      <c r="A43" t="s">
        <v>373</v>
      </c>
      <c r="B43">
        <f t="shared" si="12"/>
        <v>3</v>
      </c>
      <c r="C43">
        <f t="shared" si="13"/>
        <v>9</v>
      </c>
      <c r="D43" t="str">
        <f t="shared" si="14"/>
        <v>19</v>
      </c>
      <c r="E43" t="str">
        <f t="shared" ref="E43:E56" si="16" xml:space="preserve"> RIGHT(LEFT($A43,C43-1),C43-B43-1)</f>
        <v>2.184</v>
      </c>
    </row>
    <row r="44" spans="1:5" x14ac:dyDescent="0.35">
      <c r="A44" t="s">
        <v>374</v>
      </c>
      <c r="B44">
        <f t="shared" si="12"/>
        <v>3</v>
      </c>
      <c r="C44">
        <f t="shared" si="13"/>
        <v>9</v>
      </c>
      <c r="D44" t="str">
        <f t="shared" si="14"/>
        <v>20</v>
      </c>
      <c r="E44" t="str">
        <f t="shared" ref="E44:E56" si="17" xml:space="preserve"> RIGHT(LEFT(A44,C44-1),C44-B44-1)</f>
        <v>2.344</v>
      </c>
    </row>
    <row r="45" spans="1:5" x14ac:dyDescent="0.35">
      <c r="A45" t="s">
        <v>375</v>
      </c>
      <c r="B45">
        <f t="shared" si="12"/>
        <v>3</v>
      </c>
      <c r="C45">
        <f t="shared" si="13"/>
        <v>9</v>
      </c>
      <c r="D45" t="str">
        <f t="shared" si="14"/>
        <v>25</v>
      </c>
      <c r="E45" t="str">
        <f t="shared" si="17"/>
        <v>3.007</v>
      </c>
    </row>
    <row r="46" spans="1:5" x14ac:dyDescent="0.35">
      <c r="A46" t="s">
        <v>376</v>
      </c>
      <c r="B46">
        <f t="shared" si="12"/>
        <v>3</v>
      </c>
      <c r="C46">
        <f t="shared" si="13"/>
        <v>9</v>
      </c>
      <c r="D46" t="str">
        <f t="shared" si="14"/>
        <v>30</v>
      </c>
      <c r="E46" t="str">
        <f t="shared" si="17"/>
        <v>3.483</v>
      </c>
    </row>
    <row r="47" spans="1:5" x14ac:dyDescent="0.35">
      <c r="A47" t="s">
        <v>377</v>
      </c>
      <c r="B47">
        <f t="shared" si="12"/>
        <v>3</v>
      </c>
      <c r="C47">
        <f t="shared" si="13"/>
        <v>9</v>
      </c>
      <c r="D47" t="str">
        <f t="shared" si="14"/>
        <v>40</v>
      </c>
      <c r="E47" t="str">
        <f t="shared" si="17"/>
        <v>4.056</v>
      </c>
    </row>
    <row r="48" spans="1:5" x14ac:dyDescent="0.35">
      <c r="A48" t="s">
        <v>378</v>
      </c>
      <c r="B48">
        <f t="shared" si="12"/>
        <v>3</v>
      </c>
      <c r="C48">
        <f t="shared" si="13"/>
        <v>9</v>
      </c>
      <c r="D48" t="str">
        <f t="shared" si="14"/>
        <v>50</v>
      </c>
      <c r="E48" t="str">
        <f t="shared" si="17"/>
        <v>4.324</v>
      </c>
    </row>
    <row r="49" spans="1:5" x14ac:dyDescent="0.35">
      <c r="A49" t="s">
        <v>379</v>
      </c>
      <c r="B49">
        <f t="shared" si="12"/>
        <v>3</v>
      </c>
      <c r="C49">
        <f t="shared" si="13"/>
        <v>9</v>
      </c>
      <c r="D49" t="str">
        <f t="shared" si="14"/>
        <v>60</v>
      </c>
      <c r="E49" t="str">
        <f t="shared" si="17"/>
        <v>4.428</v>
      </c>
    </row>
    <row r="50" spans="1:5" x14ac:dyDescent="0.35">
      <c r="A50" t="s">
        <v>380</v>
      </c>
      <c r="B50">
        <f t="shared" si="12"/>
        <v>3</v>
      </c>
      <c r="C50">
        <f t="shared" si="13"/>
        <v>9</v>
      </c>
      <c r="D50" t="str">
        <f t="shared" si="14"/>
        <v>70</v>
      </c>
      <c r="E50" t="str">
        <f t="shared" si="17"/>
        <v>4.440</v>
      </c>
    </row>
    <row r="51" spans="1:5" x14ac:dyDescent="0.35">
      <c r="A51" t="s">
        <v>381</v>
      </c>
      <c r="B51">
        <f t="shared" si="12"/>
        <v>3</v>
      </c>
      <c r="C51">
        <f t="shared" si="13"/>
        <v>9</v>
      </c>
      <c r="D51" t="str">
        <f t="shared" si="14"/>
        <v>80</v>
      </c>
      <c r="E51" t="str">
        <f t="shared" si="17"/>
        <v>4.401</v>
      </c>
    </row>
    <row r="52" spans="1:5" x14ac:dyDescent="0.35">
      <c r="A52" t="s">
        <v>382</v>
      </c>
      <c r="B52">
        <f t="shared" si="12"/>
        <v>3</v>
      </c>
      <c r="C52">
        <f t="shared" si="13"/>
        <v>9</v>
      </c>
      <c r="D52" t="str">
        <f t="shared" si="14"/>
        <v>90</v>
      </c>
      <c r="E52" t="str">
        <f t="shared" si="17"/>
        <v>4.333</v>
      </c>
    </row>
    <row r="53" spans="1:5" x14ac:dyDescent="0.35">
      <c r="A53" t="s">
        <v>383</v>
      </c>
      <c r="B53">
        <f t="shared" si="12"/>
        <v>4</v>
      </c>
      <c r="C53">
        <f t="shared" si="13"/>
        <v>10</v>
      </c>
      <c r="D53" t="str">
        <f t="shared" si="14"/>
        <v>100</v>
      </c>
      <c r="E53" t="str">
        <f t="shared" si="17"/>
        <v>4.245</v>
      </c>
    </row>
    <row r="54" spans="1:5" x14ac:dyDescent="0.35">
      <c r="A54" t="s">
        <v>384</v>
      </c>
      <c r="B54">
        <f t="shared" si="12"/>
        <v>4</v>
      </c>
      <c r="C54">
        <f t="shared" si="13"/>
        <v>10</v>
      </c>
      <c r="D54" t="str">
        <f t="shared" si="14"/>
        <v>200</v>
      </c>
      <c r="E54" t="str">
        <f t="shared" ref="E54:E56" si="18" xml:space="preserve"> RIGHT(LEFT($A54,C54-1),C54-B54-1)</f>
        <v>3.349</v>
      </c>
    </row>
    <row r="55" spans="1:5" x14ac:dyDescent="0.35">
      <c r="A55" t="s">
        <v>385</v>
      </c>
      <c r="B55">
        <f t="shared" si="12"/>
        <v>4</v>
      </c>
      <c r="C55">
        <f t="shared" si="13"/>
        <v>10</v>
      </c>
      <c r="D55" t="str">
        <f t="shared" si="14"/>
        <v>300</v>
      </c>
      <c r="E55" t="str">
        <f t="shared" ref="E55:E64" si="19" xml:space="preserve"> RIGHT(LEFT(A55,C55-1),C55-B55-1)</f>
        <v>2.732</v>
      </c>
    </row>
    <row r="56" spans="1:5" x14ac:dyDescent="0.35">
      <c r="A56" t="s">
        <v>386</v>
      </c>
      <c r="B56">
        <f t="shared" si="12"/>
        <v>4</v>
      </c>
      <c r="C56">
        <f t="shared" si="13"/>
        <v>10</v>
      </c>
      <c r="D56" t="str">
        <f t="shared" si="14"/>
        <v>400</v>
      </c>
      <c r="E56" t="str">
        <f t="shared" si="19"/>
        <v>2.317</v>
      </c>
    </row>
    <row r="57" spans="1:5" x14ac:dyDescent="0.35">
      <c r="A57" t="s">
        <v>387</v>
      </c>
      <c r="B57">
        <f t="shared" si="12"/>
        <v>4</v>
      </c>
      <c r="C57">
        <f t="shared" si="13"/>
        <v>10</v>
      </c>
      <c r="D57" t="str">
        <f t="shared" si="14"/>
        <v>500</v>
      </c>
      <c r="E57" t="str">
        <f t="shared" si="19"/>
        <v>2.019</v>
      </c>
    </row>
    <row r="58" spans="1:5" x14ac:dyDescent="0.35">
      <c r="A58" t="s">
        <v>388</v>
      </c>
      <c r="B58">
        <f t="shared" si="12"/>
        <v>4</v>
      </c>
      <c r="C58">
        <f t="shared" si="13"/>
        <v>10</v>
      </c>
      <c r="D58" t="str">
        <f t="shared" si="14"/>
        <v>600</v>
      </c>
      <c r="E58" t="str">
        <f t="shared" si="19"/>
        <v>1.795</v>
      </c>
    </row>
    <row r="59" spans="1:5" x14ac:dyDescent="0.35">
      <c r="A59" t="s">
        <v>389</v>
      </c>
      <c r="B59">
        <f t="shared" si="12"/>
        <v>4</v>
      </c>
      <c r="C59">
        <f t="shared" si="13"/>
        <v>10</v>
      </c>
      <c r="D59" t="str">
        <f t="shared" si="14"/>
        <v>700</v>
      </c>
      <c r="E59" t="str">
        <f t="shared" si="19"/>
        <v>1.619</v>
      </c>
    </row>
    <row r="60" spans="1:5" x14ac:dyDescent="0.35">
      <c r="A60" t="s">
        <v>390</v>
      </c>
      <c r="B60">
        <f t="shared" si="12"/>
        <v>4</v>
      </c>
      <c r="C60">
        <f t="shared" si="13"/>
        <v>10</v>
      </c>
      <c r="D60" t="str">
        <f t="shared" si="14"/>
        <v>800</v>
      </c>
      <c r="E60" t="str">
        <f t="shared" si="19"/>
        <v>1.478</v>
      </c>
    </row>
    <row r="61" spans="1:5" x14ac:dyDescent="0.35">
      <c r="A61" t="s">
        <v>391</v>
      </c>
      <c r="B61">
        <f t="shared" si="12"/>
        <v>5</v>
      </c>
      <c r="C61">
        <f t="shared" si="13"/>
        <v>11</v>
      </c>
      <c r="D61" t="str">
        <f t="shared" si="14"/>
        <v>1000</v>
      </c>
      <c r="E61" t="str">
        <f t="shared" si="19"/>
        <v>1.264</v>
      </c>
    </row>
    <row r="62" spans="1:5" x14ac:dyDescent="0.35">
      <c r="A62" t="s">
        <v>392</v>
      </c>
      <c r="B62">
        <f t="shared" si="12"/>
        <v>5</v>
      </c>
      <c r="C62">
        <f t="shared" si="13"/>
        <v>11</v>
      </c>
      <c r="D62" t="str">
        <f t="shared" si="14"/>
        <v>2000</v>
      </c>
      <c r="E62" t="str">
        <f t="shared" si="19"/>
        <v>0.757</v>
      </c>
    </row>
    <row r="63" spans="1:5" x14ac:dyDescent="0.35">
      <c r="A63" t="s">
        <v>393</v>
      </c>
      <c r="B63">
        <f t="shared" si="12"/>
        <v>5</v>
      </c>
      <c r="C63">
        <f t="shared" si="13"/>
        <v>11</v>
      </c>
      <c r="D63" t="str">
        <f t="shared" si="14"/>
        <v>3000</v>
      </c>
      <c r="E63" t="str">
        <f t="shared" si="19"/>
        <v>0.553</v>
      </c>
    </row>
    <row r="64" spans="1:5" x14ac:dyDescent="0.35">
      <c r="A64" t="s">
        <v>394</v>
      </c>
      <c r="B64">
        <f t="shared" si="12"/>
        <v>5</v>
      </c>
      <c r="C64">
        <f t="shared" si="13"/>
        <v>11</v>
      </c>
      <c r="D64" t="str">
        <f t="shared" si="14"/>
        <v>4000</v>
      </c>
      <c r="E64" t="str">
        <f t="shared" si="19"/>
        <v>0.440</v>
      </c>
    </row>
    <row r="65" spans="1:5" x14ac:dyDescent="0.35">
      <c r="A65" t="s">
        <v>395</v>
      </c>
      <c r="B65">
        <f t="shared" si="12"/>
        <v>5</v>
      </c>
      <c r="C65">
        <f t="shared" si="13"/>
        <v>11</v>
      </c>
      <c r="D65" t="str">
        <f t="shared" si="14"/>
        <v>5000</v>
      </c>
      <c r="E65" t="str">
        <f t="shared" ref="E65" si="20" xml:space="preserve"> RIGHT(LEFT($A65,C65-1),C65-B65-1)</f>
        <v>0.368</v>
      </c>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A815111-1A8F-4F5A-A09C-757680E716B3}">
  <dimension ref="A1:AG41"/>
  <sheetViews>
    <sheetView workbookViewId="0">
      <selection activeCell="X2" sqref="X2"/>
    </sheetView>
  </sheetViews>
  <sheetFormatPr defaultRowHeight="14.5" x14ac:dyDescent="0.35"/>
  <cols>
    <col min="1" max="1" width="33.26953125" customWidth="1"/>
  </cols>
  <sheetData>
    <row r="1" spans="1:33" x14ac:dyDescent="0.35">
      <c r="D1" t="e">
        <f xml:space="preserve"> FIND(" ", $A2, C2+1)</f>
        <v>#VALUE!</v>
      </c>
    </row>
    <row r="2" spans="1:33" x14ac:dyDescent="0.35">
      <c r="A2" t="s">
        <v>427</v>
      </c>
      <c r="B2">
        <f>FIND(" ", A2)</f>
        <v>3</v>
      </c>
      <c r="C2">
        <f xml:space="preserve"> FIND(" ", $A2, B2+1)</f>
        <v>10</v>
      </c>
      <c r="D2" t="e">
        <f t="shared" ref="D2:F2" si="0" xml:space="preserve"> FIND(" ", $A2, C2+1)</f>
        <v>#VALUE!</v>
      </c>
      <c r="E2" t="e">
        <f t="shared" si="0"/>
        <v>#VALUE!</v>
      </c>
      <c r="F2" t="e">
        <f t="shared" si="0"/>
        <v>#VALUE!</v>
      </c>
      <c r="G2" cm="1">
        <f t="array" ref="G2">MATCH(TRUE, ISERR(B2:F2),0)</f>
        <v>3</v>
      </c>
      <c r="J2" t="str">
        <f>LEFT(A2, B2-1)</f>
        <v>25</v>
      </c>
      <c r="K2" t="str">
        <f xml:space="preserve"> RIGHT(LEFT($A2,C2-1),C2-B2-1)</f>
        <v>0.0279</v>
      </c>
      <c r="L2" t="e">
        <f xml:space="preserve"> RIGHT(LEFT($A2,D2-1),D2-C2-1)</f>
        <v>#VALUE!</v>
      </c>
      <c r="M2" t="e">
        <f t="shared" ref="M2:N17" si="1" xml:space="preserve"> RIGHT(LEFT($A2,E2-1),E2-D2-1)</f>
        <v>#VALUE!</v>
      </c>
      <c r="N2" t="e">
        <f t="shared" si="1"/>
        <v>#VALUE!</v>
      </c>
      <c r="O2" t="e">
        <f xml:space="preserve"> RIGHT($A2,LEN(A2)-F2)</f>
        <v>#VALUE!</v>
      </c>
      <c r="U2" t="e">
        <f xml:space="preserve"> RIGHT($A2,LEN(A2)-D2)</f>
        <v>#VALUE!</v>
      </c>
      <c r="V2" t="e">
        <f xml:space="preserve"> RIGHT($A2,LEN(B2)-E2)</f>
        <v>#VALUE!</v>
      </c>
      <c r="W2" t="e">
        <f xml:space="preserve"> RIGHT($A2,LEN(C2)-F2)</f>
        <v>#VALUE!</v>
      </c>
      <c r="X2" t="str">
        <f ca="1" xml:space="preserve"> RIGHT($A2,LEN(A2)-OFFSET(B2,0,G2-2))</f>
        <v>0.0419</v>
      </c>
      <c r="Y2">
        <f ca="1">OFFSET(B2,0,G2-2)</f>
        <v>10</v>
      </c>
      <c r="AB2" t="s">
        <v>323</v>
      </c>
      <c r="AC2" t="s">
        <v>467</v>
      </c>
      <c r="AD2" t="s">
        <v>633</v>
      </c>
      <c r="AE2">
        <v>0</v>
      </c>
      <c r="AF2">
        <v>0</v>
      </c>
      <c r="AG2">
        <v>0</v>
      </c>
    </row>
    <row r="3" spans="1:33" x14ac:dyDescent="0.35">
      <c r="A3" t="s">
        <v>428</v>
      </c>
      <c r="B3">
        <f>FIND(" ", A3)</f>
        <v>3</v>
      </c>
      <c r="C3">
        <f t="shared" ref="C3:F3" si="2" xml:space="preserve"> FIND(" ", $A3, B3+1)</f>
        <v>9</v>
      </c>
      <c r="D3">
        <f t="shared" si="2"/>
        <v>16</v>
      </c>
      <c r="E3" t="e">
        <f t="shared" si="2"/>
        <v>#VALUE!</v>
      </c>
      <c r="F3" t="e">
        <f t="shared" si="2"/>
        <v>#VALUE!</v>
      </c>
      <c r="G3" cm="1">
        <f t="array" ref="G3">MATCH(TRUE, ISERR(B3:F3),0)</f>
        <v>4</v>
      </c>
      <c r="J3" t="str">
        <f>LEFT(A3, B3-1)</f>
        <v>30</v>
      </c>
      <c r="K3" t="str">
        <f xml:space="preserve"> RIGHT(LEFT(A3,C3-1),C3-B3-1)</f>
        <v>0.139</v>
      </c>
      <c r="L3" t="str">
        <f xml:space="preserve"> RIGHT(LEFT($A3,D3-1),D3-C3-1)</f>
        <v>0.0024</v>
      </c>
      <c r="M3" t="e">
        <f t="shared" si="1"/>
        <v>#VALUE!</v>
      </c>
      <c r="N3" t="e">
        <f t="shared" si="1"/>
        <v>#VALUE!</v>
      </c>
      <c r="O3" t="e">
        <f xml:space="preserve"> RIGHT($A3,LEN(A3)-F3)</f>
        <v>#VALUE!</v>
      </c>
      <c r="U3" t="str">
        <f xml:space="preserve"> RIGHT($A3,LEN(A3)-D3)</f>
        <v>0.0986</v>
      </c>
      <c r="V3" t="e">
        <f xml:space="preserve"> RIGHT($A3,LEN(B3)-E3)</f>
        <v>#VALUE!</v>
      </c>
      <c r="W3" t="e">
        <f xml:space="preserve"> RIGHT($A3,LEN(C3)-F3)</f>
        <v>#VALUE!</v>
      </c>
      <c r="X3" t="str">
        <f ca="1" xml:space="preserve"> RIGHT($A3,LEN(A3)-OFFSET(B3,0,G3-2))</f>
        <v>0.0986</v>
      </c>
      <c r="AB3" t="s">
        <v>325</v>
      </c>
      <c r="AC3" t="s">
        <v>468</v>
      </c>
      <c r="AD3" t="s">
        <v>469</v>
      </c>
      <c r="AE3" t="s">
        <v>625</v>
      </c>
      <c r="AF3">
        <v>0</v>
      </c>
      <c r="AG3">
        <v>0</v>
      </c>
    </row>
    <row r="4" spans="1:33" x14ac:dyDescent="0.35">
      <c r="A4" t="s">
        <v>429</v>
      </c>
      <c r="B4">
        <f>FIND(" ", A4)</f>
        <v>3</v>
      </c>
      <c r="C4">
        <f t="shared" ref="C4:F4" si="3" xml:space="preserve"> FIND(" ", $A4, B4+1)</f>
        <v>9</v>
      </c>
      <c r="D4">
        <f t="shared" si="3"/>
        <v>16</v>
      </c>
      <c r="E4" t="e">
        <f t="shared" si="3"/>
        <v>#VALUE!</v>
      </c>
      <c r="F4" t="e">
        <f t="shared" si="3"/>
        <v>#VALUE!</v>
      </c>
      <c r="G4" cm="1">
        <f t="array" ref="G4">MATCH(TRUE, ISERR(B4:F4),0)</f>
        <v>4</v>
      </c>
      <c r="J4" t="str">
        <f>LEFT(A4, B4-1)</f>
        <v>35</v>
      </c>
      <c r="K4" t="str">
        <f xml:space="preserve"> RIGHT(LEFT(A4,C4-1),C4-B4-1)</f>
        <v>0.247</v>
      </c>
      <c r="L4" t="str">
        <f xml:space="preserve"> RIGHT(LEFT($A4,D4-1),D4-C4-1)</f>
        <v>0.0280</v>
      </c>
      <c r="M4" t="e">
        <f t="shared" si="1"/>
        <v>#VALUE!</v>
      </c>
      <c r="N4" t="e">
        <f t="shared" si="1"/>
        <v>#VALUE!</v>
      </c>
      <c r="O4" t="e">
        <f xml:space="preserve"> RIGHT($A4,LEN(A4)-F4)</f>
        <v>#VALUE!</v>
      </c>
      <c r="U4" t="str">
        <f xml:space="preserve"> RIGHT($A4,LEN(A4)-D4)</f>
        <v>0.150</v>
      </c>
      <c r="V4" t="e">
        <f xml:space="preserve"> RIGHT($A4,LEN(B4)-E4)</f>
        <v>#VALUE!</v>
      </c>
      <c r="W4" t="e">
        <f xml:space="preserve"> RIGHT($A4,LEN(C4)-F4)</f>
        <v>#VALUE!</v>
      </c>
      <c r="X4" t="str">
        <f ca="1" xml:space="preserve"> RIGHT($A4,LEN(A4)-OFFSET(B4,0,G4-2))</f>
        <v>0.150</v>
      </c>
      <c r="AB4" t="s">
        <v>470</v>
      </c>
      <c r="AC4" t="s">
        <v>471</v>
      </c>
      <c r="AD4" t="s">
        <v>472</v>
      </c>
      <c r="AE4" t="s">
        <v>626</v>
      </c>
      <c r="AF4">
        <v>0</v>
      </c>
      <c r="AG4">
        <v>0</v>
      </c>
    </row>
    <row r="5" spans="1:33" x14ac:dyDescent="0.35">
      <c r="A5" t="s">
        <v>430</v>
      </c>
      <c r="B5">
        <f>FIND(" ", A5)</f>
        <v>3</v>
      </c>
      <c r="C5">
        <f t="shared" ref="C5:F5" si="4" xml:space="preserve"> FIND(" ", $A5, B5+1)</f>
        <v>9</v>
      </c>
      <c r="D5">
        <f t="shared" si="4"/>
        <v>16</v>
      </c>
      <c r="E5" t="e">
        <f t="shared" si="4"/>
        <v>#VALUE!</v>
      </c>
      <c r="F5" t="e">
        <f t="shared" si="4"/>
        <v>#VALUE!</v>
      </c>
      <c r="G5" cm="1">
        <f t="array" ref="G5">MATCH(TRUE, ISERR(B5:F5),0)</f>
        <v>4</v>
      </c>
      <c r="J5" t="str">
        <f>LEFT(A5, B5-1)</f>
        <v>40</v>
      </c>
      <c r="K5" t="str">
        <f xml:space="preserve"> RIGHT(LEFT(A5,C5-1),C5-B5-1)</f>
        <v>0.281</v>
      </c>
      <c r="L5" t="str">
        <f xml:space="preserve"> RIGHT(LEFT($A5,D5-1),D5-C5-1)</f>
        <v>0.0782</v>
      </c>
      <c r="M5" t="e">
        <f t="shared" si="1"/>
        <v>#VALUE!</v>
      </c>
      <c r="N5" t="e">
        <f t="shared" si="1"/>
        <v>#VALUE!</v>
      </c>
      <c r="O5" t="e">
        <f xml:space="preserve"> RIGHT($A5,LEN(A5)-F5)</f>
        <v>#VALUE!</v>
      </c>
      <c r="U5" t="str">
        <f xml:space="preserve"> RIGHT($A5,LEN(A5)-D5)</f>
        <v>0.195</v>
      </c>
      <c r="V5" t="e">
        <f xml:space="preserve"> RIGHT($A5,LEN(B5)-E5)</f>
        <v>#VALUE!</v>
      </c>
      <c r="W5" t="e">
        <f xml:space="preserve"> RIGHT($A5,LEN(C5)-F5)</f>
        <v>#VALUE!</v>
      </c>
      <c r="X5" t="str">
        <f ca="1" xml:space="preserve"> RIGHT($A5,LEN(A5)-OFFSET(B5,0,G5-2))</f>
        <v>0.195</v>
      </c>
      <c r="AB5" t="s">
        <v>327</v>
      </c>
      <c r="AC5" t="s">
        <v>473</v>
      </c>
      <c r="AD5" t="s">
        <v>474</v>
      </c>
      <c r="AE5" t="s">
        <v>627</v>
      </c>
      <c r="AF5">
        <v>0</v>
      </c>
      <c r="AG5">
        <v>0</v>
      </c>
    </row>
    <row r="6" spans="1:33" x14ac:dyDescent="0.35">
      <c r="A6" t="s">
        <v>431</v>
      </c>
      <c r="B6">
        <f>FIND(" ", A6)</f>
        <v>3</v>
      </c>
      <c r="C6">
        <f t="shared" ref="C6:F6" si="5" xml:space="preserve"> FIND(" ", $A6, B6+1)</f>
        <v>9</v>
      </c>
      <c r="D6">
        <f t="shared" si="5"/>
        <v>15</v>
      </c>
      <c r="E6" t="e">
        <f t="shared" si="5"/>
        <v>#VALUE!</v>
      </c>
      <c r="F6" t="e">
        <f t="shared" si="5"/>
        <v>#VALUE!</v>
      </c>
      <c r="G6" cm="1">
        <f t="array" ref="G6">MATCH(TRUE, ISERR(B6:F6),0)</f>
        <v>4</v>
      </c>
      <c r="J6" t="str">
        <f>LEFT(A6, B6-1)</f>
        <v>45</v>
      </c>
      <c r="K6" t="str">
        <f xml:space="preserve"> RIGHT(LEFT(A6,C6-1),C6-B6-1)</f>
        <v>0.299</v>
      </c>
      <c r="L6" t="str">
        <f xml:space="preserve"> RIGHT(LEFT($A6,D6-1),D6-C6-1)</f>
        <v>0.121</v>
      </c>
      <c r="M6" t="e">
        <f t="shared" si="1"/>
        <v>#VALUE!</v>
      </c>
      <c r="N6" t="e">
        <f t="shared" si="1"/>
        <v>#VALUE!</v>
      </c>
      <c r="O6" t="e">
        <f xml:space="preserve"> RIGHT($A6,LEN(A6)-F6)</f>
        <v>#VALUE!</v>
      </c>
      <c r="U6" t="str">
        <f xml:space="preserve"> RIGHT($A6,LEN(A6)-D6)</f>
        <v>0.245</v>
      </c>
      <c r="V6" t="e">
        <f xml:space="preserve"> RIGHT($A6,LEN(B6)-E6)</f>
        <v>#VALUE!</v>
      </c>
      <c r="W6" t="e">
        <f xml:space="preserve"> RIGHT($A6,LEN(C6)-F6)</f>
        <v>#VALUE!</v>
      </c>
      <c r="X6" t="str">
        <f ca="1" xml:space="preserve"> RIGHT($A6,LEN(A6)-OFFSET(B6,0,G6-2))</f>
        <v>0.245</v>
      </c>
      <c r="AB6" t="s">
        <v>475</v>
      </c>
      <c r="AC6" t="s">
        <v>476</v>
      </c>
      <c r="AD6" t="s">
        <v>477</v>
      </c>
      <c r="AE6" t="s">
        <v>561</v>
      </c>
      <c r="AF6">
        <v>0</v>
      </c>
      <c r="AG6">
        <v>0</v>
      </c>
    </row>
    <row r="7" spans="1:33" x14ac:dyDescent="0.35">
      <c r="A7" t="s">
        <v>432</v>
      </c>
      <c r="B7">
        <f>FIND(" ", A7)</f>
        <v>3</v>
      </c>
      <c r="C7">
        <f t="shared" ref="C7:F7" si="6" xml:space="preserve"> FIND(" ", $A7, B7+1)</f>
        <v>9</v>
      </c>
      <c r="D7">
        <f t="shared" si="6"/>
        <v>15</v>
      </c>
      <c r="E7" t="e">
        <f t="shared" si="6"/>
        <v>#VALUE!</v>
      </c>
      <c r="F7" t="e">
        <f t="shared" si="6"/>
        <v>#VALUE!</v>
      </c>
      <c r="G7" cm="1">
        <f t="array" ref="G7">MATCH(TRUE, ISERR(B7:F7),0)</f>
        <v>4</v>
      </c>
      <c r="J7" t="str">
        <f>LEFT(A7, B7-1)</f>
        <v>50</v>
      </c>
      <c r="K7" t="str">
        <f xml:space="preserve"> RIGHT(LEFT(A7,C7-1),C7-B7-1)</f>
        <v>0.319</v>
      </c>
      <c r="L7" t="str">
        <f xml:space="preserve"> RIGHT(LEFT($A7,D7-1),D7-C7-1)</f>
        <v>0.149</v>
      </c>
      <c r="M7" t="e">
        <f t="shared" si="1"/>
        <v>#VALUE!</v>
      </c>
      <c r="N7" t="e">
        <f t="shared" si="1"/>
        <v>#VALUE!</v>
      </c>
      <c r="O7" t="e">
        <f xml:space="preserve"> RIGHT($A7,LEN(A7)-F7)</f>
        <v>#VALUE!</v>
      </c>
      <c r="U7" t="str">
        <f xml:space="preserve"> RIGHT($A7,LEN(A7)-D7)</f>
        <v>0.299</v>
      </c>
      <c r="V7" t="e">
        <f xml:space="preserve"> RIGHT($A7,LEN(B7)-E7)</f>
        <v>#VALUE!</v>
      </c>
      <c r="W7" t="e">
        <f xml:space="preserve"> RIGHT($A7,LEN(C7)-F7)</f>
        <v>#VALUE!</v>
      </c>
      <c r="X7" t="str">
        <f ca="1" xml:space="preserve"> RIGHT($A7,LEN(A7)-OFFSET(B7,0,G7-2))</f>
        <v>0.299</v>
      </c>
      <c r="AB7" t="s">
        <v>329</v>
      </c>
      <c r="AC7" t="s">
        <v>478</v>
      </c>
      <c r="AD7" t="s">
        <v>479</v>
      </c>
      <c r="AE7" t="s">
        <v>476</v>
      </c>
      <c r="AF7">
        <v>0</v>
      </c>
      <c r="AG7">
        <v>0</v>
      </c>
    </row>
    <row r="8" spans="1:33" x14ac:dyDescent="0.35">
      <c r="A8" t="s">
        <v>433</v>
      </c>
      <c r="B8">
        <f>FIND(" ", A8)</f>
        <v>3</v>
      </c>
      <c r="C8">
        <f t="shared" ref="C8:F8" si="7" xml:space="preserve"> FIND(" ", $A8, B8+1)</f>
        <v>9</v>
      </c>
      <c r="D8">
        <f t="shared" si="7"/>
        <v>15</v>
      </c>
      <c r="E8" t="e">
        <f t="shared" si="7"/>
        <v>#VALUE!</v>
      </c>
      <c r="F8" t="e">
        <f t="shared" si="7"/>
        <v>#VALUE!</v>
      </c>
      <c r="G8" cm="1">
        <f t="array" ref="G8">MATCH(TRUE, ISERR(B8:F8),0)</f>
        <v>4</v>
      </c>
      <c r="J8" t="str">
        <f>LEFT(A8, B8-1)</f>
        <v>55</v>
      </c>
      <c r="K8" t="str">
        <f xml:space="preserve"> RIGHT(LEFT(A8,C8-1),C8-B8-1)</f>
        <v>0.339</v>
      </c>
      <c r="L8" t="str">
        <f xml:space="preserve"> RIGHT(LEFT($A8,D8-1),D8-C8-1)</f>
        <v>0.178</v>
      </c>
      <c r="M8" t="e">
        <f t="shared" si="1"/>
        <v>#VALUE!</v>
      </c>
      <c r="N8" t="e">
        <f t="shared" si="1"/>
        <v>#VALUE!</v>
      </c>
      <c r="O8" t="e">
        <f xml:space="preserve"> RIGHT($A8,LEN(A8)-F8)</f>
        <v>#VALUE!</v>
      </c>
      <c r="U8" t="str">
        <f xml:space="preserve"> RIGHT($A8,LEN(A8)-D8)</f>
        <v>0.352</v>
      </c>
      <c r="V8" t="e">
        <f xml:space="preserve"> RIGHT($A8,LEN(B8)-E8)</f>
        <v>#VALUE!</v>
      </c>
      <c r="W8" t="e">
        <f xml:space="preserve"> RIGHT($A8,LEN(C8)-F8)</f>
        <v>#VALUE!</v>
      </c>
      <c r="X8" t="str">
        <f ca="1" xml:space="preserve"> RIGHT($A8,LEN(A8)-OFFSET(B8,0,G8-2))</f>
        <v>0.352</v>
      </c>
      <c r="AB8" t="s">
        <v>480</v>
      </c>
      <c r="AC8" t="s">
        <v>481</v>
      </c>
      <c r="AD8" t="s">
        <v>482</v>
      </c>
      <c r="AE8" t="s">
        <v>628</v>
      </c>
      <c r="AF8">
        <v>0</v>
      </c>
      <c r="AG8">
        <v>0</v>
      </c>
    </row>
    <row r="9" spans="1:33" x14ac:dyDescent="0.35">
      <c r="A9" t="s">
        <v>434</v>
      </c>
      <c r="B9">
        <f>FIND(" ", A9)</f>
        <v>3</v>
      </c>
      <c r="C9">
        <f t="shared" ref="C9:F9" si="8" xml:space="preserve"> FIND(" ", $A9, B9+1)</f>
        <v>9</v>
      </c>
      <c r="D9">
        <f t="shared" si="8"/>
        <v>15</v>
      </c>
      <c r="E9" t="e">
        <f t="shared" si="8"/>
        <v>#VALUE!</v>
      </c>
      <c r="F9" t="e">
        <f t="shared" si="8"/>
        <v>#VALUE!</v>
      </c>
      <c r="G9" cm="1">
        <f t="array" ref="G9">MATCH(TRUE, ISERR(B9:F9),0)</f>
        <v>4</v>
      </c>
      <c r="J9" t="str">
        <f>LEFT(A9, B9-1)</f>
        <v>60</v>
      </c>
      <c r="K9" t="str">
        <f xml:space="preserve"> RIGHT(LEFT(A9,C9-1),C9-B9-1)</f>
        <v>0.362</v>
      </c>
      <c r="L9" t="str">
        <f xml:space="preserve"> RIGHT(LEFT($A9,D9-1),D9-C9-1)</f>
        <v>0.208</v>
      </c>
      <c r="M9" t="e">
        <f t="shared" si="1"/>
        <v>#VALUE!</v>
      </c>
      <c r="N9" t="e">
        <f t="shared" si="1"/>
        <v>#VALUE!</v>
      </c>
      <c r="O9" t="e">
        <f xml:space="preserve"> RIGHT($A9,LEN(A9)-F9)</f>
        <v>#VALUE!</v>
      </c>
      <c r="U9" t="str">
        <f xml:space="preserve"> RIGHT($A9,LEN(A9)-D9)</f>
        <v>0.407</v>
      </c>
      <c r="V9" t="e">
        <f xml:space="preserve"> RIGHT($A9,LEN(B9)-E9)</f>
        <v>#VALUE!</v>
      </c>
      <c r="W9" t="e">
        <f xml:space="preserve"> RIGHT($A9,LEN(C9)-F9)</f>
        <v>#VALUE!</v>
      </c>
      <c r="X9" t="str">
        <f ca="1" xml:space="preserve"> RIGHT($A9,LEN(A9)-OFFSET(B9,0,G9-2))</f>
        <v>0.407</v>
      </c>
      <c r="AB9" t="s">
        <v>331</v>
      </c>
      <c r="AC9" t="s">
        <v>483</v>
      </c>
      <c r="AD9" t="s">
        <v>484</v>
      </c>
      <c r="AE9" t="s">
        <v>629</v>
      </c>
      <c r="AF9">
        <v>0</v>
      </c>
      <c r="AG9">
        <v>0</v>
      </c>
    </row>
    <row r="10" spans="1:33" x14ac:dyDescent="0.35">
      <c r="A10" t="s">
        <v>435</v>
      </c>
      <c r="B10">
        <f>FIND(" ", A10)</f>
        <v>3</v>
      </c>
      <c r="C10">
        <f t="shared" ref="C10:F10" si="9" xml:space="preserve"> FIND(" ", $A10, B10+1)</f>
        <v>9</v>
      </c>
      <c r="D10">
        <f t="shared" si="9"/>
        <v>15</v>
      </c>
      <c r="E10" t="e">
        <f t="shared" si="9"/>
        <v>#VALUE!</v>
      </c>
      <c r="F10" t="e">
        <f t="shared" si="9"/>
        <v>#VALUE!</v>
      </c>
      <c r="G10" cm="1">
        <f t="array" ref="G10">MATCH(TRUE, ISERR(B10:F10),0)</f>
        <v>4</v>
      </c>
      <c r="J10" t="str">
        <f>LEFT(A10, B10-1)</f>
        <v>65</v>
      </c>
      <c r="K10" t="str">
        <f xml:space="preserve"> RIGHT(LEFT(A10,C10-1),C10-B10-1)</f>
        <v>0.369</v>
      </c>
      <c r="L10" t="str">
        <f xml:space="preserve"> RIGHT(LEFT($A10,D10-1),D10-C10-1)</f>
        <v>0.229</v>
      </c>
      <c r="M10" t="e">
        <f t="shared" si="1"/>
        <v>#VALUE!</v>
      </c>
      <c r="N10" t="e">
        <f t="shared" si="1"/>
        <v>#VALUE!</v>
      </c>
      <c r="O10" t="e">
        <f xml:space="preserve"> RIGHT($A10,LEN(A10)-F10)</f>
        <v>#VALUE!</v>
      </c>
      <c r="U10" t="str">
        <f xml:space="preserve"> RIGHT($A10,LEN(A10)-D10)</f>
        <v>0.452</v>
      </c>
      <c r="V10" t="e">
        <f xml:space="preserve"> RIGHT($A10,LEN(B10)-E10)</f>
        <v>#VALUE!</v>
      </c>
      <c r="W10" t="e">
        <f xml:space="preserve"> RIGHT($A10,LEN(C10)-F10)</f>
        <v>#VALUE!</v>
      </c>
      <c r="X10" t="str">
        <f ca="1" xml:space="preserve"> RIGHT($A10,LEN(A10)-OFFSET(B10,0,G10-2))</f>
        <v>0.452</v>
      </c>
      <c r="AB10" t="s">
        <v>485</v>
      </c>
      <c r="AC10" t="s">
        <v>486</v>
      </c>
      <c r="AD10" t="s">
        <v>487</v>
      </c>
      <c r="AE10" t="s">
        <v>630</v>
      </c>
      <c r="AF10">
        <v>0</v>
      </c>
      <c r="AG10">
        <v>0</v>
      </c>
    </row>
    <row r="11" spans="1:33" x14ac:dyDescent="0.35">
      <c r="A11" t="s">
        <v>436</v>
      </c>
      <c r="B11">
        <f>FIND(" ", A11)</f>
        <v>3</v>
      </c>
      <c r="C11">
        <f t="shared" ref="C11:F11" si="10" xml:space="preserve"> FIND(" ", $A11, B11+1)</f>
        <v>9</v>
      </c>
      <c r="D11">
        <f t="shared" si="10"/>
        <v>15</v>
      </c>
      <c r="E11" t="e">
        <f t="shared" si="10"/>
        <v>#VALUE!</v>
      </c>
      <c r="F11" t="e">
        <f t="shared" si="10"/>
        <v>#VALUE!</v>
      </c>
      <c r="G11" cm="1">
        <f t="array" ref="G11">MATCH(TRUE, ISERR(B11:F11),0)</f>
        <v>4</v>
      </c>
      <c r="J11" t="str">
        <f>LEFT(A11, B11-1)</f>
        <v>70</v>
      </c>
      <c r="K11" t="str">
        <f xml:space="preserve"> RIGHT(LEFT(A11,C11-1),C11-B11-1)</f>
        <v>0.379</v>
      </c>
      <c r="L11" t="str">
        <f xml:space="preserve"> RIGHT(LEFT($A11,D11-1),D11-C11-1)</f>
        <v>0.246</v>
      </c>
      <c r="M11" t="e">
        <f t="shared" si="1"/>
        <v>#VALUE!</v>
      </c>
      <c r="N11" t="e">
        <f t="shared" si="1"/>
        <v>#VALUE!</v>
      </c>
      <c r="O11" t="e">
        <f xml:space="preserve"> RIGHT($A11,LEN(A11)-F11)</f>
        <v>#VALUE!</v>
      </c>
      <c r="U11" t="str">
        <f xml:space="preserve"> RIGHT($A11,LEN(A11)-D11)</f>
        <v>0.485</v>
      </c>
      <c r="V11" t="e">
        <f xml:space="preserve"> RIGHT($A11,LEN(B11)-E11)</f>
        <v>#VALUE!</v>
      </c>
      <c r="W11" t="e">
        <f xml:space="preserve"> RIGHT($A11,LEN(C11)-F11)</f>
        <v>#VALUE!</v>
      </c>
      <c r="X11" t="str">
        <f ca="1" xml:space="preserve"> RIGHT($A11,LEN(A11)-OFFSET(B11,0,G11-2))</f>
        <v>0.485</v>
      </c>
      <c r="AB11" t="s">
        <v>333</v>
      </c>
      <c r="AC11" t="s">
        <v>488</v>
      </c>
      <c r="AD11" t="s">
        <v>489</v>
      </c>
      <c r="AE11" t="s">
        <v>631</v>
      </c>
      <c r="AF11">
        <v>0</v>
      </c>
      <c r="AG11">
        <v>0</v>
      </c>
    </row>
    <row r="12" spans="1:33" x14ac:dyDescent="0.35">
      <c r="A12" t="s">
        <v>437</v>
      </c>
      <c r="B12">
        <f>FIND(" ", A12)</f>
        <v>3</v>
      </c>
      <c r="C12">
        <f t="shared" ref="C12:F12" si="11" xml:space="preserve"> FIND(" ", $A12, B12+1)</f>
        <v>9</v>
      </c>
      <c r="D12">
        <f t="shared" si="11"/>
        <v>15</v>
      </c>
      <c r="E12" t="e">
        <f t="shared" si="11"/>
        <v>#VALUE!</v>
      </c>
      <c r="F12" t="e">
        <f t="shared" si="11"/>
        <v>#VALUE!</v>
      </c>
      <c r="G12" cm="1">
        <f t="array" ref="G12">MATCH(TRUE, ISERR(B12:F12),0)</f>
        <v>4</v>
      </c>
      <c r="J12" t="str">
        <f>LEFT(A12, B12-1)</f>
        <v>75</v>
      </c>
      <c r="K12" t="str">
        <f xml:space="preserve"> RIGHT(LEFT(A12,C12-1),C12-B12-1)</f>
        <v>0.380</v>
      </c>
      <c r="L12" t="str">
        <f xml:space="preserve"> RIGHT(LEFT($A12,D12-1),D12-C12-1)</f>
        <v>0.261</v>
      </c>
      <c r="M12" t="e">
        <f t="shared" si="1"/>
        <v>#VALUE!</v>
      </c>
      <c r="N12" t="e">
        <f t="shared" si="1"/>
        <v>#VALUE!</v>
      </c>
      <c r="O12" t="e">
        <f xml:space="preserve"> RIGHT($A12,LEN(A12)-F12)</f>
        <v>#VALUE!</v>
      </c>
      <c r="U12" t="str">
        <f xml:space="preserve"> RIGHT($A12,LEN(A12)-D12)</f>
        <v>0.526</v>
      </c>
      <c r="V12" t="e">
        <f xml:space="preserve"> RIGHT($A12,LEN(B12)-E12)</f>
        <v>#VALUE!</v>
      </c>
      <c r="W12" t="e">
        <f xml:space="preserve"> RIGHT($A12,LEN(C12)-F12)</f>
        <v>#VALUE!</v>
      </c>
      <c r="X12" t="str">
        <f ca="1" xml:space="preserve"> RIGHT($A12,LEN(A12)-OFFSET(B12,0,G12-2))</f>
        <v>0.526</v>
      </c>
      <c r="AB12" t="s">
        <v>490</v>
      </c>
      <c r="AC12" t="s">
        <v>491</v>
      </c>
      <c r="AD12" t="s">
        <v>492</v>
      </c>
      <c r="AE12" t="s">
        <v>632</v>
      </c>
      <c r="AF12">
        <v>0</v>
      </c>
      <c r="AG12">
        <v>0</v>
      </c>
    </row>
    <row r="13" spans="1:33" x14ac:dyDescent="0.35">
      <c r="A13" t="s">
        <v>438</v>
      </c>
      <c r="B13">
        <f t="shared" ref="B13:B41" si="12">FIND(" ", A13)</f>
        <v>3</v>
      </c>
      <c r="C13">
        <f t="shared" ref="C13:F13" si="13" xml:space="preserve"> FIND(" ", $A13, B13+1)</f>
        <v>9</v>
      </c>
      <c r="D13">
        <f t="shared" si="13"/>
        <v>15</v>
      </c>
      <c r="E13">
        <f t="shared" si="13"/>
        <v>21</v>
      </c>
      <c r="F13" t="e">
        <f t="shared" si="13"/>
        <v>#VALUE!</v>
      </c>
      <c r="G13" cm="1">
        <f t="array" ref="G13">MATCH(TRUE, ISERR(B13:F13),0)</f>
        <v>5</v>
      </c>
      <c r="J13" t="str">
        <f t="shared" ref="J13:J41" si="14">LEFT(A13, B13-1)</f>
        <v>80</v>
      </c>
      <c r="K13" t="str">
        <f t="shared" ref="K13:K41" si="15" xml:space="preserve"> RIGHT(LEFT(A13,C13-1),C13-B13-1)</f>
        <v>0.386</v>
      </c>
      <c r="L13" t="str">
        <f t="shared" ref="L13:M41" si="16" xml:space="preserve"> RIGHT(LEFT($A13,D13-1),D13-C13-1)</f>
        <v>0.278</v>
      </c>
      <c r="M13" t="str">
        <f t="shared" si="1"/>
        <v>0.556</v>
      </c>
      <c r="N13" t="e">
        <f t="shared" si="1"/>
        <v>#VALUE!</v>
      </c>
      <c r="O13" t="e">
        <f xml:space="preserve"> RIGHT($A13,LEN(A13)-F13)</f>
        <v>#VALUE!</v>
      </c>
      <c r="U13" t="str">
        <f xml:space="preserve"> RIGHT($A13,LEN(A13)-D13)</f>
        <v>0.556 0.0179</v>
      </c>
      <c r="V13" t="e">
        <f xml:space="preserve"> RIGHT($A13,LEN(B13)-E13)</f>
        <v>#VALUE!</v>
      </c>
      <c r="W13" t="e">
        <f xml:space="preserve"> RIGHT($A13,LEN(C13)-F13)</f>
        <v>#VALUE!</v>
      </c>
      <c r="X13" t="str">
        <f ca="1" xml:space="preserve"> RIGHT($A13,LEN(A13)-OFFSET(B13,0,G13-2))</f>
        <v>0.0179</v>
      </c>
      <c r="AB13" t="s">
        <v>335</v>
      </c>
      <c r="AC13" t="s">
        <v>493</v>
      </c>
      <c r="AD13" t="s">
        <v>494</v>
      </c>
      <c r="AE13" t="s">
        <v>495</v>
      </c>
      <c r="AF13" t="s">
        <v>622</v>
      </c>
      <c r="AG13">
        <v>0</v>
      </c>
    </row>
    <row r="14" spans="1:33" x14ac:dyDescent="0.35">
      <c r="A14" t="s">
        <v>439</v>
      </c>
      <c r="B14">
        <f t="shared" si="12"/>
        <v>3</v>
      </c>
      <c r="C14">
        <f t="shared" ref="C14:F14" si="17" xml:space="preserve"> FIND(" ", $A14, B14+1)</f>
        <v>9</v>
      </c>
      <c r="D14">
        <f t="shared" si="17"/>
        <v>15</v>
      </c>
      <c r="E14">
        <f t="shared" si="17"/>
        <v>21</v>
      </c>
      <c r="F14" t="e">
        <f t="shared" si="17"/>
        <v>#VALUE!</v>
      </c>
      <c r="G14" cm="1">
        <f t="array" ref="G14">MATCH(TRUE, ISERR(B14:F14),0)</f>
        <v>5</v>
      </c>
      <c r="J14" t="str">
        <f t="shared" si="14"/>
        <v>85</v>
      </c>
      <c r="K14" t="str">
        <f t="shared" si="15"/>
        <v>0.389</v>
      </c>
      <c r="L14" t="str">
        <f t="shared" si="16"/>
        <v>0.285</v>
      </c>
      <c r="M14" t="str">
        <f t="shared" si="1"/>
        <v>0.584</v>
      </c>
      <c r="N14" t="e">
        <f t="shared" si="1"/>
        <v>#VALUE!</v>
      </c>
      <c r="O14" t="e">
        <f xml:space="preserve"> RIGHT($A14,LEN(A14)-F14)</f>
        <v>#VALUE!</v>
      </c>
      <c r="U14" t="str">
        <f xml:space="preserve"> RIGHT($A14,LEN(A14)-D14)</f>
        <v>0.584 0.0215</v>
      </c>
      <c r="V14" t="e">
        <f xml:space="preserve"> RIGHT($A14,LEN(B14)-E14)</f>
        <v>#VALUE!</v>
      </c>
      <c r="W14" t="e">
        <f xml:space="preserve"> RIGHT($A14,LEN(C14)-F14)</f>
        <v>#VALUE!</v>
      </c>
      <c r="X14" t="str">
        <f ca="1" xml:space="preserve"> RIGHT($A14,LEN(A14)-OFFSET(B14,0,G14-2))</f>
        <v>0.0215</v>
      </c>
      <c r="AB14" t="s">
        <v>496</v>
      </c>
      <c r="AC14" t="s">
        <v>497</v>
      </c>
      <c r="AD14" t="s">
        <v>498</v>
      </c>
      <c r="AE14" t="s">
        <v>499</v>
      </c>
      <c r="AF14" t="s">
        <v>623</v>
      </c>
      <c r="AG14">
        <v>0</v>
      </c>
    </row>
    <row r="15" spans="1:33" x14ac:dyDescent="0.35">
      <c r="A15" t="s">
        <v>440</v>
      </c>
      <c r="B15">
        <f t="shared" si="12"/>
        <v>3</v>
      </c>
      <c r="C15">
        <f t="shared" ref="C15:F15" si="18" xml:space="preserve"> FIND(" ", $A15, B15+1)</f>
        <v>9</v>
      </c>
      <c r="D15">
        <f t="shared" si="18"/>
        <v>15</v>
      </c>
      <c r="E15">
        <f t="shared" si="18"/>
        <v>21</v>
      </c>
      <c r="F15" t="e">
        <f t="shared" si="18"/>
        <v>#VALUE!</v>
      </c>
      <c r="G15" cm="1">
        <f t="array" ref="G15">MATCH(TRUE, ISERR(B15:F15),0)</f>
        <v>5</v>
      </c>
      <c r="J15" t="str">
        <f t="shared" si="14"/>
        <v>90</v>
      </c>
      <c r="K15" t="str">
        <f t="shared" si="15"/>
        <v>0.390</v>
      </c>
      <c r="L15" t="str">
        <f t="shared" si="16"/>
        <v>0.296</v>
      </c>
      <c r="M15" t="str">
        <f t="shared" si="1"/>
        <v>0.606</v>
      </c>
      <c r="N15" t="e">
        <f t="shared" si="1"/>
        <v>#VALUE!</v>
      </c>
      <c r="O15" t="e">
        <f xml:space="preserve"> RIGHT($A15,LEN(A15)-F15)</f>
        <v>#VALUE!</v>
      </c>
      <c r="U15" t="str">
        <f xml:space="preserve"> RIGHT($A15,LEN(A15)-D15)</f>
        <v>0.606 0.0311</v>
      </c>
      <c r="V15" t="e">
        <f xml:space="preserve"> RIGHT($A15,LEN(B15)-E15)</f>
        <v>#VALUE!</v>
      </c>
      <c r="W15" t="e">
        <f xml:space="preserve"> RIGHT($A15,LEN(C15)-F15)</f>
        <v>#VALUE!</v>
      </c>
      <c r="X15" t="str">
        <f ca="1" xml:space="preserve"> RIGHT($A15,LEN(A15)-OFFSET(B15,0,G15-2))</f>
        <v>0.0311</v>
      </c>
      <c r="AB15" t="s">
        <v>337</v>
      </c>
      <c r="AC15" t="s">
        <v>500</v>
      </c>
      <c r="AD15" t="s">
        <v>501</v>
      </c>
      <c r="AE15" t="s">
        <v>502</v>
      </c>
      <c r="AF15" t="s">
        <v>624</v>
      </c>
      <c r="AG15">
        <v>0</v>
      </c>
    </row>
    <row r="16" spans="1:33" x14ac:dyDescent="0.35">
      <c r="A16" t="s">
        <v>441</v>
      </c>
      <c r="B16">
        <f t="shared" si="12"/>
        <v>3</v>
      </c>
      <c r="C16">
        <f t="shared" ref="C16:F16" si="19" xml:space="preserve"> FIND(" ", $A16, B16+1)</f>
        <v>9</v>
      </c>
      <c r="D16">
        <f t="shared" si="19"/>
        <v>15</v>
      </c>
      <c r="E16">
        <f t="shared" si="19"/>
        <v>21</v>
      </c>
      <c r="F16">
        <f t="shared" si="19"/>
        <v>28</v>
      </c>
      <c r="G16" t="e" cm="1">
        <f t="array" ref="G16">MATCH(TRUE, ISERR(B16:F16),0)</f>
        <v>#N/A</v>
      </c>
      <c r="J16" t="str">
        <f t="shared" si="14"/>
        <v>95</v>
      </c>
      <c r="K16" t="str">
        <f t="shared" si="15"/>
        <v>0.390</v>
      </c>
      <c r="L16" t="str">
        <f t="shared" si="16"/>
        <v>0.306</v>
      </c>
      <c r="M16" t="str">
        <f t="shared" si="1"/>
        <v>0.622</v>
      </c>
      <c r="N16" t="str">
        <f t="shared" si="1"/>
        <v>0.0506</v>
      </c>
      <c r="O16" t="str">
        <f xml:space="preserve"> RIGHT($A16,LEN(A16)-F16)</f>
        <v>0.0169</v>
      </c>
      <c r="U16" t="str">
        <f xml:space="preserve"> RIGHT($A16,LEN(A16)-D16)</f>
        <v>0.622 0.0506 0.0169</v>
      </c>
      <c r="V16" t="e">
        <f xml:space="preserve"> RIGHT($A16,LEN(B16)-E16)</f>
        <v>#VALUE!</v>
      </c>
      <c r="W16" t="e">
        <f xml:space="preserve"> RIGHT($A16,LEN(C16)-F16)</f>
        <v>#VALUE!</v>
      </c>
      <c r="X16" t="e">
        <f ca="1" xml:space="preserve"> RIGHT($A16,LEN(A16)-OFFSET(B16,0,G16-2))</f>
        <v>#N/A</v>
      </c>
      <c r="AB16" t="s">
        <v>503</v>
      </c>
      <c r="AC16" t="s">
        <v>500</v>
      </c>
      <c r="AD16" t="s">
        <v>504</v>
      </c>
      <c r="AE16" t="s">
        <v>505</v>
      </c>
      <c r="AF16" t="s">
        <v>506</v>
      </c>
      <c r="AG16" t="s">
        <v>507</v>
      </c>
    </row>
    <row r="17" spans="1:33" x14ac:dyDescent="0.35">
      <c r="A17" t="s">
        <v>442</v>
      </c>
      <c r="B17">
        <f t="shared" si="12"/>
        <v>4</v>
      </c>
      <c r="C17">
        <f t="shared" ref="C17:F17" si="20" xml:space="preserve"> FIND(" ", $A17, B17+1)</f>
        <v>10</v>
      </c>
      <c r="D17">
        <f t="shared" si="20"/>
        <v>16</v>
      </c>
      <c r="E17">
        <f t="shared" si="20"/>
        <v>22</v>
      </c>
      <c r="F17">
        <f t="shared" si="20"/>
        <v>29</v>
      </c>
      <c r="G17" t="e" cm="1">
        <f t="array" ref="G17">MATCH(TRUE, ISERR(B17:F17),0)</f>
        <v>#N/A</v>
      </c>
      <c r="J17" t="str">
        <f t="shared" si="14"/>
        <v>100</v>
      </c>
      <c r="K17" t="str">
        <f t="shared" si="15"/>
        <v>0.389</v>
      </c>
      <c r="L17" t="str">
        <f t="shared" si="16"/>
        <v>0.310</v>
      </c>
      <c r="M17" t="str">
        <f t="shared" si="1"/>
        <v>0.640</v>
      </c>
      <c r="N17" t="str">
        <f t="shared" si="1"/>
        <v>0.0520</v>
      </c>
      <c r="O17" t="str">
        <f xml:space="preserve"> RIGHT($A17,LEN(A17)-F17)</f>
        <v>0.0197</v>
      </c>
      <c r="U17" t="str">
        <f xml:space="preserve"> RIGHT($A17,LEN(A17)-D17)</f>
        <v>0.640 0.0520 0.0197</v>
      </c>
      <c r="V17" t="e">
        <f xml:space="preserve"> RIGHT($A17,LEN(B17)-E17)</f>
        <v>#VALUE!</v>
      </c>
      <c r="W17" t="e">
        <f xml:space="preserve"> RIGHT($A17,LEN(C17)-F17)</f>
        <v>#VALUE!</v>
      </c>
      <c r="X17" t="e">
        <f ca="1" xml:space="preserve"> RIGHT($A17,LEN(A17)-OFFSET(B17,0,G17-2))</f>
        <v>#N/A</v>
      </c>
      <c r="AB17" t="s">
        <v>339</v>
      </c>
      <c r="AC17" t="s">
        <v>497</v>
      </c>
      <c r="AD17" t="s">
        <v>508</v>
      </c>
      <c r="AE17" t="s">
        <v>509</v>
      </c>
      <c r="AF17" t="s">
        <v>510</v>
      </c>
      <c r="AG17" t="s">
        <v>511</v>
      </c>
    </row>
    <row r="18" spans="1:33" x14ac:dyDescent="0.35">
      <c r="A18" t="s">
        <v>443</v>
      </c>
      <c r="B18">
        <f t="shared" si="12"/>
        <v>4</v>
      </c>
      <c r="C18">
        <f t="shared" ref="C18:F18" si="21" xml:space="preserve"> FIND(" ", $A18, B18+1)</f>
        <v>10</v>
      </c>
      <c r="D18">
        <f t="shared" si="21"/>
        <v>16</v>
      </c>
      <c r="E18">
        <f t="shared" si="21"/>
        <v>22</v>
      </c>
      <c r="F18">
        <f t="shared" si="21"/>
        <v>29</v>
      </c>
      <c r="G18" t="e" cm="1">
        <f t="array" ref="G18">MATCH(TRUE, ISERR(B18:F18),0)</f>
        <v>#N/A</v>
      </c>
      <c r="J18" t="str">
        <f t="shared" si="14"/>
        <v>110</v>
      </c>
      <c r="K18" t="str">
        <f t="shared" si="15"/>
        <v>0.386</v>
      </c>
      <c r="L18" t="str">
        <f t="shared" si="16"/>
        <v>0.322</v>
      </c>
      <c r="M18" t="str">
        <f t="shared" si="16"/>
        <v>0.663</v>
      </c>
      <c r="N18" t="str">
        <f t="shared" ref="N18:N41" si="22" xml:space="preserve"> RIGHT(LEFT($A18,F18-1),F18-E18-1)</f>
        <v>0.0751</v>
      </c>
      <c r="O18" t="str">
        <f xml:space="preserve"> RIGHT($A18,LEN(A18)-F18)</f>
        <v>0.0324</v>
      </c>
      <c r="U18" t="str">
        <f xml:space="preserve"> RIGHT($A18,LEN(A18)-D18)</f>
        <v>0.663 0.0751 0.0324</v>
      </c>
      <c r="V18" t="e">
        <f xml:space="preserve"> RIGHT($A18,LEN(B18)-E18)</f>
        <v>#VALUE!</v>
      </c>
      <c r="W18" t="e">
        <f xml:space="preserve"> RIGHT($A18,LEN(C18)-F18)</f>
        <v>#VALUE!</v>
      </c>
      <c r="X18" t="e">
        <f ca="1" xml:space="preserve"> RIGHT($A18,LEN(A18)-OFFSET(B18,0,G18-2))</f>
        <v>#N/A</v>
      </c>
      <c r="AB18" t="s">
        <v>512</v>
      </c>
      <c r="AC18" t="s">
        <v>493</v>
      </c>
      <c r="AD18" t="s">
        <v>513</v>
      </c>
      <c r="AE18" t="s">
        <v>514</v>
      </c>
      <c r="AF18" t="s">
        <v>515</v>
      </c>
      <c r="AG18" t="s">
        <v>516</v>
      </c>
    </row>
    <row r="19" spans="1:33" x14ac:dyDescent="0.35">
      <c r="A19" t="s">
        <v>444</v>
      </c>
      <c r="B19">
        <f t="shared" si="12"/>
        <v>4</v>
      </c>
      <c r="C19">
        <f t="shared" ref="C19:F19" si="23" xml:space="preserve"> FIND(" ", $A19, B19+1)</f>
        <v>10</v>
      </c>
      <c r="D19">
        <f t="shared" si="23"/>
        <v>16</v>
      </c>
      <c r="E19">
        <f t="shared" si="23"/>
        <v>22</v>
      </c>
      <c r="F19">
        <f t="shared" si="23"/>
        <v>28</v>
      </c>
      <c r="G19" t="e" cm="1">
        <f t="array" ref="G19">MATCH(TRUE, ISERR(B19:F19),0)</f>
        <v>#N/A</v>
      </c>
      <c r="J19" t="str">
        <f t="shared" si="14"/>
        <v>120</v>
      </c>
      <c r="K19" t="str">
        <f t="shared" si="15"/>
        <v>0.378</v>
      </c>
      <c r="L19" t="str">
        <f t="shared" si="16"/>
        <v>0.323</v>
      </c>
      <c r="M19" t="str">
        <f t="shared" si="16"/>
        <v>0.671</v>
      </c>
      <c r="N19" t="str">
        <f t="shared" si="22"/>
        <v>0.108</v>
      </c>
      <c r="O19" t="str">
        <f xml:space="preserve"> RIGHT($A19,LEN(A19)-F19)</f>
        <v>0.0721</v>
      </c>
      <c r="U19" t="str">
        <f xml:space="preserve"> RIGHT($A19,LEN(A19)-D19)</f>
        <v>0.671 0.108 0.0721</v>
      </c>
      <c r="V19" t="e">
        <f xml:space="preserve"> RIGHT($A19,LEN(B19)-E19)</f>
        <v>#VALUE!</v>
      </c>
      <c r="W19" t="e">
        <f xml:space="preserve"> RIGHT($A19,LEN(C19)-F19)</f>
        <v>#VALUE!</v>
      </c>
      <c r="X19" t="e">
        <f ca="1" xml:space="preserve"> RIGHT($A19,LEN(A19)-OFFSET(B19,0,G19-2))</f>
        <v>#N/A</v>
      </c>
      <c r="AB19" t="s">
        <v>517</v>
      </c>
      <c r="AC19" t="s">
        <v>518</v>
      </c>
      <c r="AD19" t="s">
        <v>519</v>
      </c>
      <c r="AE19" t="s">
        <v>520</v>
      </c>
      <c r="AF19" t="s">
        <v>521</v>
      </c>
      <c r="AG19" t="s">
        <v>522</v>
      </c>
    </row>
    <row r="20" spans="1:33" x14ac:dyDescent="0.35">
      <c r="A20" t="s">
        <v>445</v>
      </c>
      <c r="B20">
        <f t="shared" si="12"/>
        <v>4</v>
      </c>
      <c r="C20">
        <f t="shared" ref="C20:F20" si="24" xml:space="preserve"> FIND(" ", $A20, B20+1)</f>
        <v>10</v>
      </c>
      <c r="D20">
        <f t="shared" si="24"/>
        <v>16</v>
      </c>
      <c r="E20">
        <f t="shared" si="24"/>
        <v>22</v>
      </c>
      <c r="F20">
        <f t="shared" si="24"/>
        <v>28</v>
      </c>
      <c r="G20" t="e" cm="1">
        <f t="array" ref="G20">MATCH(TRUE, ISERR(B20:F20),0)</f>
        <v>#N/A</v>
      </c>
      <c r="J20" t="str">
        <f t="shared" si="14"/>
        <v>140</v>
      </c>
      <c r="K20" t="str">
        <f t="shared" si="15"/>
        <v>0.365</v>
      </c>
      <c r="L20" t="str">
        <f t="shared" si="16"/>
        <v>0.331</v>
      </c>
      <c r="M20" t="str">
        <f t="shared" si="16"/>
        <v>0.680</v>
      </c>
      <c r="N20" t="str">
        <f t="shared" si="22"/>
        <v>0.157</v>
      </c>
      <c r="O20" t="str">
        <f xml:space="preserve"> RIGHT($A20,LEN(A20)-F20)</f>
        <v>0.133</v>
      </c>
      <c r="U20" t="str">
        <f xml:space="preserve"> RIGHT($A20,LEN(A20)-D20)</f>
        <v>0.680 0.157 0.133</v>
      </c>
      <c r="V20" t="e">
        <f xml:space="preserve"> RIGHT($A20,LEN(B20)-E20)</f>
        <v>#VALUE!</v>
      </c>
      <c r="W20" t="e">
        <f xml:space="preserve"> RIGHT($A20,LEN(C20)-F20)</f>
        <v>#VALUE!</v>
      </c>
      <c r="X20" t="e">
        <f ca="1" xml:space="preserve"> RIGHT($A20,LEN(A20)-OFFSET(B20,0,G20-2))</f>
        <v>#N/A</v>
      </c>
      <c r="AB20" t="s">
        <v>523</v>
      </c>
      <c r="AC20" t="s">
        <v>524</v>
      </c>
      <c r="AD20" t="s">
        <v>525</v>
      </c>
      <c r="AE20" t="s">
        <v>526</v>
      </c>
      <c r="AF20" t="s">
        <v>527</v>
      </c>
      <c r="AG20" t="s">
        <v>528</v>
      </c>
    </row>
    <row r="21" spans="1:33" x14ac:dyDescent="0.35">
      <c r="A21" t="s">
        <v>446</v>
      </c>
      <c r="B21">
        <f t="shared" si="12"/>
        <v>4</v>
      </c>
      <c r="C21">
        <f t="shared" ref="C21:F21" si="25" xml:space="preserve"> FIND(" ", $A21, B21+1)</f>
        <v>10</v>
      </c>
      <c r="D21">
        <f t="shared" si="25"/>
        <v>16</v>
      </c>
      <c r="E21">
        <f t="shared" si="25"/>
        <v>22</v>
      </c>
      <c r="F21">
        <f t="shared" si="25"/>
        <v>28</v>
      </c>
      <c r="G21" t="e" cm="1">
        <f t="array" ref="G21">MATCH(TRUE, ISERR(B21:F21),0)</f>
        <v>#N/A</v>
      </c>
      <c r="J21" t="str">
        <f t="shared" si="14"/>
        <v>160</v>
      </c>
      <c r="K21" t="str">
        <f t="shared" si="15"/>
        <v>0.340</v>
      </c>
      <c r="L21" t="str">
        <f t="shared" si="16"/>
        <v>0.321</v>
      </c>
      <c r="M21" t="str">
        <f t="shared" si="16"/>
        <v>0.670</v>
      </c>
      <c r="N21" t="str">
        <f t="shared" si="22"/>
        <v>0.186</v>
      </c>
      <c r="O21" t="str">
        <f xml:space="preserve"> RIGHT($A21,LEN(A21)-F21)</f>
        <v>0.159</v>
      </c>
      <c r="U21" t="str">
        <f xml:space="preserve"> RIGHT($A21,LEN(A21)-D21)</f>
        <v>0.670 0.186 0.159</v>
      </c>
      <c r="V21" t="e">
        <f xml:space="preserve"> RIGHT($A21,LEN(B21)-E21)</f>
        <v>#VALUE!</v>
      </c>
      <c r="W21" t="e">
        <f xml:space="preserve"> RIGHT($A21,LEN(C21)-F21)</f>
        <v>#VALUE!</v>
      </c>
      <c r="X21" t="e">
        <f ca="1" xml:space="preserve"> RIGHT($A21,LEN(A21)-OFFSET(B21,0,G21-2))</f>
        <v>#N/A</v>
      </c>
      <c r="AB21" t="s">
        <v>529</v>
      </c>
      <c r="AC21" t="s">
        <v>530</v>
      </c>
      <c r="AD21" t="s">
        <v>531</v>
      </c>
      <c r="AE21" t="s">
        <v>532</v>
      </c>
      <c r="AF21" t="s">
        <v>533</v>
      </c>
      <c r="AG21" t="s">
        <v>534</v>
      </c>
    </row>
    <row r="22" spans="1:33" x14ac:dyDescent="0.35">
      <c r="A22" t="s">
        <v>447</v>
      </c>
      <c r="B22">
        <f t="shared" si="12"/>
        <v>4</v>
      </c>
      <c r="C22">
        <f t="shared" ref="C22:F22" si="26" xml:space="preserve"> FIND(" ", $A22, B22+1)</f>
        <v>10</v>
      </c>
      <c r="D22">
        <f t="shared" si="26"/>
        <v>16</v>
      </c>
      <c r="E22">
        <f t="shared" si="26"/>
        <v>22</v>
      </c>
      <c r="F22">
        <f t="shared" si="26"/>
        <v>28</v>
      </c>
      <c r="G22" t="e" cm="1">
        <f t="array" ref="G22">MATCH(TRUE, ISERR(B22:F22),0)</f>
        <v>#N/A</v>
      </c>
      <c r="J22" t="str">
        <f t="shared" si="14"/>
        <v>180</v>
      </c>
      <c r="K22" t="str">
        <f t="shared" si="15"/>
        <v>0.333</v>
      </c>
      <c r="L22" t="str">
        <f t="shared" si="16"/>
        <v>0.309</v>
      </c>
      <c r="M22" t="str">
        <f t="shared" si="16"/>
        <v>0.647</v>
      </c>
      <c r="N22" t="str">
        <f t="shared" si="22"/>
        <v>0.249</v>
      </c>
      <c r="O22" t="str">
        <f xml:space="preserve"> RIGHT($A22,LEN(A22)-F22)</f>
        <v>0.217</v>
      </c>
      <c r="U22" t="str">
        <f xml:space="preserve"> RIGHT($A22,LEN(A22)-D22)</f>
        <v>0.647 0.249 0.217</v>
      </c>
      <c r="V22" t="e">
        <f xml:space="preserve"> RIGHT($A22,LEN(B22)-E22)</f>
        <v>#VALUE!</v>
      </c>
      <c r="W22" t="e">
        <f xml:space="preserve"> RIGHT($A22,LEN(C22)-F22)</f>
        <v>#VALUE!</v>
      </c>
      <c r="X22" t="e">
        <f ca="1" xml:space="preserve"> RIGHT($A22,LEN(A22)-OFFSET(B22,0,G22-2))</f>
        <v>#N/A</v>
      </c>
      <c r="AB22" t="s">
        <v>535</v>
      </c>
      <c r="AC22" t="s">
        <v>536</v>
      </c>
      <c r="AD22" t="s">
        <v>537</v>
      </c>
      <c r="AE22" t="s">
        <v>538</v>
      </c>
      <c r="AF22" t="s">
        <v>539</v>
      </c>
      <c r="AG22" t="s">
        <v>540</v>
      </c>
    </row>
    <row r="23" spans="1:33" x14ac:dyDescent="0.35">
      <c r="A23" t="s">
        <v>448</v>
      </c>
      <c r="B23">
        <f t="shared" si="12"/>
        <v>4</v>
      </c>
      <c r="C23">
        <f t="shared" ref="C23:F23" si="27" xml:space="preserve"> FIND(" ", $A23, B23+1)</f>
        <v>10</v>
      </c>
      <c r="D23">
        <f t="shared" si="27"/>
        <v>16</v>
      </c>
      <c r="E23">
        <f t="shared" si="27"/>
        <v>22</v>
      </c>
      <c r="F23">
        <f t="shared" si="27"/>
        <v>28</v>
      </c>
      <c r="G23" t="e" cm="1">
        <f t="array" ref="G23">MATCH(TRUE, ISERR(B23:F23),0)</f>
        <v>#N/A</v>
      </c>
      <c r="J23" t="str">
        <f t="shared" si="14"/>
        <v>200</v>
      </c>
      <c r="K23" t="str">
        <f t="shared" si="15"/>
        <v>0.314</v>
      </c>
      <c r="L23" t="str">
        <f t="shared" si="16"/>
        <v>0.301</v>
      </c>
      <c r="M23" t="str">
        <f t="shared" si="16"/>
        <v>0.631</v>
      </c>
      <c r="N23" t="str">
        <f t="shared" si="22"/>
        <v>0.279</v>
      </c>
      <c r="O23" t="str">
        <f xml:space="preserve"> RIGHT($A23,LEN(A23)-F23)</f>
        <v>0.233</v>
      </c>
      <c r="U23" t="str">
        <f xml:space="preserve"> RIGHT($A23,LEN(A23)-D23)</f>
        <v>0.631 0.279 0.233</v>
      </c>
      <c r="V23" t="e">
        <f xml:space="preserve"> RIGHT($A23,LEN(B23)-E23)</f>
        <v>#VALUE!</v>
      </c>
      <c r="W23" t="e">
        <f xml:space="preserve"> RIGHT($A23,LEN(C23)-F23)</f>
        <v>#VALUE!</v>
      </c>
      <c r="X23" t="e">
        <f ca="1" xml:space="preserve"> RIGHT($A23,LEN(A23)-OFFSET(B23,0,G23-2))</f>
        <v>#N/A</v>
      </c>
      <c r="AB23" t="s">
        <v>341</v>
      </c>
      <c r="AC23" t="s">
        <v>541</v>
      </c>
      <c r="AD23" t="s">
        <v>542</v>
      </c>
      <c r="AE23" t="s">
        <v>543</v>
      </c>
      <c r="AF23" t="s">
        <v>544</v>
      </c>
      <c r="AG23" t="s">
        <v>545</v>
      </c>
    </row>
    <row r="24" spans="1:33" x14ac:dyDescent="0.35">
      <c r="A24" t="s">
        <v>449</v>
      </c>
      <c r="B24">
        <f t="shared" si="12"/>
        <v>4</v>
      </c>
      <c r="C24">
        <f t="shared" ref="C24:F24" si="28" xml:space="preserve"> FIND(" ", $A24, B24+1)</f>
        <v>10</v>
      </c>
      <c r="D24">
        <f t="shared" si="28"/>
        <v>16</v>
      </c>
      <c r="E24">
        <f t="shared" si="28"/>
        <v>22</v>
      </c>
      <c r="F24">
        <f t="shared" si="28"/>
        <v>28</v>
      </c>
      <c r="G24" t="e" cm="1">
        <f t="array" ref="G24">MATCH(TRUE, ISERR(B24:F24),0)</f>
        <v>#N/A</v>
      </c>
      <c r="J24" t="str">
        <f t="shared" si="14"/>
        <v>225</v>
      </c>
      <c r="K24" t="str">
        <f t="shared" si="15"/>
        <v>0.300</v>
      </c>
      <c r="L24" t="str">
        <f t="shared" si="16"/>
        <v>0.288</v>
      </c>
      <c r="M24" t="str">
        <f t="shared" si="16"/>
        <v>0.606</v>
      </c>
      <c r="N24" t="str">
        <f t="shared" si="22"/>
        <v>0.256</v>
      </c>
      <c r="O24" t="str">
        <f xml:space="preserve"> RIGHT($A24,LEN(A24)-F24)</f>
        <v>0.271</v>
      </c>
      <c r="U24" t="str">
        <f xml:space="preserve"> RIGHT($A24,LEN(A24)-D24)</f>
        <v>0.606 0.256 0.271</v>
      </c>
      <c r="V24" t="e">
        <f xml:space="preserve"> RIGHT($A24,LEN(B24)-E24)</f>
        <v>#VALUE!</v>
      </c>
      <c r="W24" t="e">
        <f xml:space="preserve"> RIGHT($A24,LEN(C24)-F24)</f>
        <v>#VALUE!</v>
      </c>
      <c r="X24" t="e">
        <f ca="1" xml:space="preserve"> RIGHT($A24,LEN(A24)-OFFSET(B24,0,G24-2))</f>
        <v>#N/A</v>
      </c>
      <c r="AB24" t="s">
        <v>546</v>
      </c>
      <c r="AC24" t="s">
        <v>547</v>
      </c>
      <c r="AD24" t="s">
        <v>548</v>
      </c>
      <c r="AE24" t="s">
        <v>502</v>
      </c>
      <c r="AF24" t="s">
        <v>549</v>
      </c>
      <c r="AG24" t="s">
        <v>550</v>
      </c>
    </row>
    <row r="25" spans="1:33" x14ac:dyDescent="0.35">
      <c r="A25" t="s">
        <v>450</v>
      </c>
      <c r="B25">
        <f t="shared" si="12"/>
        <v>4</v>
      </c>
      <c r="C25">
        <f t="shared" ref="C25:F25" si="29" xml:space="preserve"> FIND(" ", $A25, B25+1)</f>
        <v>10</v>
      </c>
      <c r="D25">
        <f t="shared" si="29"/>
        <v>16</v>
      </c>
      <c r="E25">
        <f t="shared" si="29"/>
        <v>22</v>
      </c>
      <c r="F25">
        <f t="shared" si="29"/>
        <v>28</v>
      </c>
      <c r="G25" t="e" cm="1">
        <f t="array" ref="G25">MATCH(TRUE, ISERR(B25:F25),0)</f>
        <v>#N/A</v>
      </c>
      <c r="J25" t="str">
        <f t="shared" si="14"/>
        <v>250</v>
      </c>
      <c r="K25" t="str">
        <f t="shared" si="15"/>
        <v>0.278</v>
      </c>
      <c r="L25" t="str">
        <f t="shared" si="16"/>
        <v>0.273</v>
      </c>
      <c r="M25" t="str">
        <f t="shared" si="16"/>
        <v>0.572</v>
      </c>
      <c r="N25" t="str">
        <f t="shared" si="22"/>
        <v>0.291</v>
      </c>
      <c r="O25" t="str">
        <f xml:space="preserve"> RIGHT($A25,LEN(A25)-F25)</f>
        <v>0.286</v>
      </c>
      <c r="U25" t="str">
        <f xml:space="preserve"> RIGHT($A25,LEN(A25)-D25)</f>
        <v>0.572 0.291 0.286</v>
      </c>
      <c r="V25" t="e">
        <f xml:space="preserve"> RIGHT($A25,LEN(B25)-E25)</f>
        <v>#VALUE!</v>
      </c>
      <c r="W25" t="e">
        <f xml:space="preserve"> RIGHT($A25,LEN(C25)-F25)</f>
        <v>#VALUE!</v>
      </c>
      <c r="X25" t="e">
        <f ca="1" xml:space="preserve"> RIGHT($A25,LEN(A25)-OFFSET(B25,0,G25-2))</f>
        <v>#N/A</v>
      </c>
      <c r="AB25" t="s">
        <v>551</v>
      </c>
      <c r="AC25" t="s">
        <v>494</v>
      </c>
      <c r="AD25" t="s">
        <v>552</v>
      </c>
      <c r="AE25" t="s">
        <v>553</v>
      </c>
      <c r="AF25" t="s">
        <v>554</v>
      </c>
      <c r="AG25" t="s">
        <v>555</v>
      </c>
    </row>
    <row r="26" spans="1:33" x14ac:dyDescent="0.35">
      <c r="A26" t="s">
        <v>451</v>
      </c>
      <c r="B26">
        <f t="shared" si="12"/>
        <v>4</v>
      </c>
      <c r="C26">
        <f t="shared" ref="C26:F26" si="30" xml:space="preserve"> FIND(" ", $A26, B26+1)</f>
        <v>10</v>
      </c>
      <c r="D26">
        <f t="shared" si="30"/>
        <v>16</v>
      </c>
      <c r="E26">
        <f t="shared" si="30"/>
        <v>22</v>
      </c>
      <c r="F26">
        <f t="shared" si="30"/>
        <v>28</v>
      </c>
      <c r="G26" t="e" cm="1">
        <f t="array" ref="G26">MATCH(TRUE, ISERR(B26:F26),0)</f>
        <v>#N/A</v>
      </c>
      <c r="J26" t="str">
        <f t="shared" si="14"/>
        <v>275</v>
      </c>
      <c r="K26" t="str">
        <f t="shared" si="15"/>
        <v>0.269</v>
      </c>
      <c r="L26" t="str">
        <f t="shared" si="16"/>
        <v>0.260</v>
      </c>
      <c r="M26" t="str">
        <f t="shared" si="16"/>
        <v>0.553</v>
      </c>
      <c r="N26" t="str">
        <f t="shared" si="22"/>
        <v>0.247</v>
      </c>
      <c r="O26" t="str">
        <f xml:space="preserve"> RIGHT($A26,LEN(A26)-F26)</f>
        <v>0.304</v>
      </c>
      <c r="U26" t="str">
        <f xml:space="preserve"> RIGHT($A26,LEN(A26)-D26)</f>
        <v>0.553 0.247 0.304</v>
      </c>
      <c r="V26" t="e">
        <f xml:space="preserve"> RIGHT($A26,LEN(B26)-E26)</f>
        <v>#VALUE!</v>
      </c>
      <c r="W26" t="e">
        <f xml:space="preserve"> RIGHT($A26,LEN(C26)-F26)</f>
        <v>#VALUE!</v>
      </c>
      <c r="X26" t="e">
        <f ca="1" xml:space="preserve"> RIGHT($A26,LEN(A26)-OFFSET(B26,0,G26-2))</f>
        <v>#N/A</v>
      </c>
      <c r="AB26" t="s">
        <v>556</v>
      </c>
      <c r="AC26" t="s">
        <v>557</v>
      </c>
      <c r="AD26" t="s">
        <v>558</v>
      </c>
      <c r="AE26" t="s">
        <v>424</v>
      </c>
      <c r="AF26" t="s">
        <v>471</v>
      </c>
      <c r="AG26" t="s">
        <v>559</v>
      </c>
    </row>
    <row r="27" spans="1:33" x14ac:dyDescent="0.35">
      <c r="A27" t="s">
        <v>452</v>
      </c>
      <c r="B27">
        <f t="shared" si="12"/>
        <v>4</v>
      </c>
      <c r="C27">
        <f t="shared" ref="C27:F27" si="31" xml:space="preserve"> FIND(" ", $A27, B27+1)</f>
        <v>10</v>
      </c>
      <c r="D27">
        <f t="shared" si="31"/>
        <v>16</v>
      </c>
      <c r="E27">
        <f t="shared" si="31"/>
        <v>22</v>
      </c>
      <c r="F27">
        <f t="shared" si="31"/>
        <v>28</v>
      </c>
      <c r="G27" t="e" cm="1">
        <f t="array" ref="G27">MATCH(TRUE, ISERR(B27:F27),0)</f>
        <v>#N/A</v>
      </c>
      <c r="J27" t="str">
        <f t="shared" si="14"/>
        <v>300</v>
      </c>
      <c r="K27" t="str">
        <f t="shared" si="15"/>
        <v>0.250</v>
      </c>
      <c r="L27" t="str">
        <f t="shared" si="16"/>
        <v>0.245</v>
      </c>
      <c r="M27" t="str">
        <f t="shared" si="16"/>
        <v>0.524</v>
      </c>
      <c r="N27" t="str">
        <f t="shared" si="22"/>
        <v>0.252</v>
      </c>
      <c r="O27" t="str">
        <f xml:space="preserve"> RIGHT($A27,LEN(A27)-F27)</f>
        <v>0.276</v>
      </c>
      <c r="U27" t="str">
        <f xml:space="preserve"> RIGHT($A27,LEN(A27)-D27)</f>
        <v>0.524 0.252 0.276</v>
      </c>
      <c r="V27" t="e">
        <f xml:space="preserve"> RIGHT($A27,LEN(B27)-E27)</f>
        <v>#VALUE!</v>
      </c>
      <c r="W27" t="e">
        <f xml:space="preserve"> RIGHT($A27,LEN(C27)-F27)</f>
        <v>#VALUE!</v>
      </c>
      <c r="X27" t="e">
        <f ca="1" xml:space="preserve"> RIGHT($A27,LEN(A27)-OFFSET(B27,0,G27-2))</f>
        <v>#N/A</v>
      </c>
      <c r="AB27" t="s">
        <v>343</v>
      </c>
      <c r="AC27" t="s">
        <v>560</v>
      </c>
      <c r="AD27" t="s">
        <v>561</v>
      </c>
      <c r="AE27" t="s">
        <v>562</v>
      </c>
      <c r="AF27" t="s">
        <v>563</v>
      </c>
      <c r="AG27" t="s">
        <v>564</v>
      </c>
    </row>
    <row r="28" spans="1:33" x14ac:dyDescent="0.35">
      <c r="A28" t="s">
        <v>453</v>
      </c>
      <c r="B28">
        <f t="shared" si="12"/>
        <v>4</v>
      </c>
      <c r="C28">
        <f t="shared" ref="C28:F28" si="32" xml:space="preserve"> FIND(" ", $A28, B28+1)</f>
        <v>10</v>
      </c>
      <c r="D28">
        <f t="shared" si="32"/>
        <v>16</v>
      </c>
      <c r="E28">
        <f t="shared" si="32"/>
        <v>22</v>
      </c>
      <c r="F28">
        <f t="shared" si="32"/>
        <v>28</v>
      </c>
      <c r="G28" t="e" cm="1">
        <f t="array" ref="G28">MATCH(TRUE, ISERR(B28:F28),0)</f>
        <v>#N/A</v>
      </c>
      <c r="J28" t="str">
        <f t="shared" si="14"/>
        <v>350</v>
      </c>
      <c r="K28" t="str">
        <f t="shared" si="15"/>
        <v>0.226</v>
      </c>
      <c r="L28" t="str">
        <f t="shared" si="16"/>
        <v>0.215</v>
      </c>
      <c r="M28" t="str">
        <f t="shared" si="16"/>
        <v>0.470</v>
      </c>
      <c r="N28" t="str">
        <f t="shared" si="22"/>
        <v>0.216</v>
      </c>
      <c r="O28" t="str">
        <f xml:space="preserve"> RIGHT($A28,LEN(A28)-F28)</f>
        <v>0.249</v>
      </c>
      <c r="U28" t="str">
        <f xml:space="preserve"> RIGHT($A28,LEN(A28)-D28)</f>
        <v>0.470 0.216 0.249</v>
      </c>
      <c r="V28" t="e">
        <f xml:space="preserve"> RIGHT($A28,LEN(B28)-E28)</f>
        <v>#VALUE!</v>
      </c>
      <c r="W28" t="e">
        <f xml:space="preserve"> RIGHT($A28,LEN(C28)-F28)</f>
        <v>#VALUE!</v>
      </c>
      <c r="X28" t="e">
        <f ca="1" xml:space="preserve"> RIGHT($A28,LEN(A28)-OFFSET(B28,0,G28-2))</f>
        <v>#N/A</v>
      </c>
      <c r="AB28" t="s">
        <v>565</v>
      </c>
      <c r="AC28" t="s">
        <v>566</v>
      </c>
      <c r="AD28" t="s">
        <v>567</v>
      </c>
      <c r="AE28" t="s">
        <v>568</v>
      </c>
      <c r="AF28" t="s">
        <v>569</v>
      </c>
      <c r="AG28" t="s">
        <v>539</v>
      </c>
    </row>
    <row r="29" spans="1:33" x14ac:dyDescent="0.35">
      <c r="A29" t="s">
        <v>454</v>
      </c>
      <c r="B29">
        <f t="shared" si="12"/>
        <v>4</v>
      </c>
      <c r="C29">
        <f t="shared" ref="C29:F29" si="33" xml:space="preserve"> FIND(" ", $A29, B29+1)</f>
        <v>10</v>
      </c>
      <c r="D29">
        <f t="shared" si="33"/>
        <v>16</v>
      </c>
      <c r="E29">
        <f t="shared" si="33"/>
        <v>22</v>
      </c>
      <c r="F29">
        <f t="shared" si="33"/>
        <v>28</v>
      </c>
      <c r="G29" t="e" cm="1">
        <f t="array" ref="G29">MATCH(TRUE, ISERR(B29:F29),0)</f>
        <v>#N/A</v>
      </c>
      <c r="J29" t="str">
        <f t="shared" si="14"/>
        <v>400</v>
      </c>
      <c r="K29" t="str">
        <f t="shared" si="15"/>
        <v>0.211</v>
      </c>
      <c r="L29" t="str">
        <f t="shared" si="16"/>
        <v>0.202</v>
      </c>
      <c r="M29" t="str">
        <f t="shared" si="16"/>
        <v>0.433</v>
      </c>
      <c r="N29" t="str">
        <f t="shared" si="22"/>
        <v>0.224</v>
      </c>
      <c r="O29" t="str">
        <f xml:space="preserve"> RIGHT($A29,LEN(A29)-F29)</f>
        <v>0.215</v>
      </c>
      <c r="U29" t="str">
        <f xml:space="preserve"> RIGHT($A29,LEN(A29)-D29)</f>
        <v>0.433 0.224 0.215</v>
      </c>
      <c r="V29" t="e">
        <f xml:space="preserve"> RIGHT($A29,LEN(B29)-E29)</f>
        <v>#VALUE!</v>
      </c>
      <c r="W29" t="e">
        <f xml:space="preserve"> RIGHT($A29,LEN(C29)-F29)</f>
        <v>#VALUE!</v>
      </c>
      <c r="X29" t="e">
        <f ca="1" xml:space="preserve"> RIGHT($A29,LEN(A29)-OFFSET(B29,0,G29-2))</f>
        <v>#N/A</v>
      </c>
      <c r="AB29" t="s">
        <v>345</v>
      </c>
      <c r="AC29" t="s">
        <v>570</v>
      </c>
      <c r="AD29" t="s">
        <v>571</v>
      </c>
      <c r="AE29" t="s">
        <v>572</v>
      </c>
      <c r="AF29" t="s">
        <v>573</v>
      </c>
      <c r="AG29" t="s">
        <v>567</v>
      </c>
    </row>
    <row r="30" spans="1:33" x14ac:dyDescent="0.35">
      <c r="A30" t="s">
        <v>455</v>
      </c>
      <c r="B30">
        <f t="shared" si="12"/>
        <v>4</v>
      </c>
      <c r="C30">
        <f t="shared" ref="C30:F30" si="34" xml:space="preserve"> FIND(" ", $A30, B30+1)</f>
        <v>10</v>
      </c>
      <c r="D30">
        <f t="shared" si="34"/>
        <v>16</v>
      </c>
      <c r="E30">
        <f t="shared" si="34"/>
        <v>22</v>
      </c>
      <c r="F30">
        <f t="shared" si="34"/>
        <v>28</v>
      </c>
      <c r="G30" t="e" cm="1">
        <f t="array" ref="G30">MATCH(TRUE, ISERR(B30:F30),0)</f>
        <v>#N/A</v>
      </c>
      <c r="J30" t="str">
        <f t="shared" si="14"/>
        <v>450</v>
      </c>
      <c r="K30" t="str">
        <f t="shared" si="15"/>
        <v>0.193</v>
      </c>
      <c r="L30" t="str">
        <f t="shared" si="16"/>
        <v>0.183</v>
      </c>
      <c r="M30" t="str">
        <f t="shared" si="16"/>
        <v>0.388</v>
      </c>
      <c r="N30" t="str">
        <f t="shared" si="22"/>
        <v>0.198</v>
      </c>
      <c r="O30" t="str">
        <f xml:space="preserve"> RIGHT($A30,LEN(A30)-F30)</f>
        <v>0.193</v>
      </c>
      <c r="U30" t="str">
        <f xml:space="preserve"> RIGHT($A30,LEN(A30)-D30)</f>
        <v>0.388 0.198 0.193</v>
      </c>
      <c r="V30" t="e">
        <f xml:space="preserve"> RIGHT($A30,LEN(B30)-E30)</f>
        <v>#VALUE!</v>
      </c>
      <c r="W30" t="e">
        <f xml:space="preserve"> RIGHT($A30,LEN(C30)-F30)</f>
        <v>#VALUE!</v>
      </c>
      <c r="X30" t="e">
        <f ca="1" xml:space="preserve"> RIGHT($A30,LEN(A30)-OFFSET(B30,0,G30-2))</f>
        <v>#N/A</v>
      </c>
      <c r="AB30" t="s">
        <v>574</v>
      </c>
      <c r="AC30" t="s">
        <v>575</v>
      </c>
      <c r="AD30" t="s">
        <v>576</v>
      </c>
      <c r="AE30" t="s">
        <v>577</v>
      </c>
      <c r="AF30" t="s">
        <v>578</v>
      </c>
      <c r="AG30" t="s">
        <v>575</v>
      </c>
    </row>
    <row r="31" spans="1:33" x14ac:dyDescent="0.35">
      <c r="A31" t="s">
        <v>456</v>
      </c>
      <c r="B31">
        <f t="shared" si="12"/>
        <v>4</v>
      </c>
      <c r="C31">
        <f t="shared" ref="C31:F31" si="35" xml:space="preserve"> FIND(" ", $A31, B31+1)</f>
        <v>10</v>
      </c>
      <c r="D31">
        <f t="shared" si="35"/>
        <v>16</v>
      </c>
      <c r="E31">
        <f t="shared" si="35"/>
        <v>22</v>
      </c>
      <c r="F31">
        <f t="shared" si="35"/>
        <v>28</v>
      </c>
      <c r="G31" t="e" cm="1">
        <f t="array" ref="G31">MATCH(TRUE, ISERR(B31:F31),0)</f>
        <v>#N/A</v>
      </c>
      <c r="J31" t="str">
        <f t="shared" si="14"/>
        <v>500</v>
      </c>
      <c r="K31" t="str">
        <f t="shared" si="15"/>
        <v>0.178</v>
      </c>
      <c r="L31" t="str">
        <f t="shared" si="16"/>
        <v>0.169</v>
      </c>
      <c r="M31" t="str">
        <f t="shared" si="16"/>
        <v>0.361</v>
      </c>
      <c r="N31" t="str">
        <f t="shared" si="22"/>
        <v>0.177</v>
      </c>
      <c r="O31" t="str">
        <f xml:space="preserve"> RIGHT($A31,LEN(A31)-F31)</f>
        <v>0.192</v>
      </c>
      <c r="U31" t="str">
        <f xml:space="preserve"> RIGHT($A31,LEN(A31)-D31)</f>
        <v>0.361 0.177 0.192</v>
      </c>
      <c r="V31" t="e">
        <f xml:space="preserve"> RIGHT($A31,LEN(B31)-E31)</f>
        <v>#VALUE!</v>
      </c>
      <c r="W31" t="e">
        <f xml:space="preserve"> RIGHT($A31,LEN(C31)-F31)</f>
        <v>#VALUE!</v>
      </c>
      <c r="AB31" t="s">
        <v>347</v>
      </c>
      <c r="AC31" t="s">
        <v>482</v>
      </c>
      <c r="AD31" t="s">
        <v>579</v>
      </c>
      <c r="AE31" t="s">
        <v>580</v>
      </c>
      <c r="AF31" t="s">
        <v>581</v>
      </c>
      <c r="AG31" t="s">
        <v>582</v>
      </c>
    </row>
    <row r="32" spans="1:33" x14ac:dyDescent="0.35">
      <c r="A32" t="s">
        <v>457</v>
      </c>
      <c r="B32">
        <f t="shared" si="12"/>
        <v>4</v>
      </c>
      <c r="C32">
        <f t="shared" ref="C32:F32" si="36" xml:space="preserve"> FIND(" ", $A32, B32+1)</f>
        <v>10</v>
      </c>
      <c r="D32">
        <f t="shared" si="36"/>
        <v>16</v>
      </c>
      <c r="E32">
        <f t="shared" si="36"/>
        <v>22</v>
      </c>
      <c r="F32">
        <f t="shared" si="36"/>
        <v>28</v>
      </c>
      <c r="G32" t="e" cm="1">
        <f t="array" ref="G32">MATCH(TRUE, ISERR(B32:F32),0)</f>
        <v>#N/A</v>
      </c>
      <c r="J32" t="str">
        <f t="shared" si="14"/>
        <v>550</v>
      </c>
      <c r="K32" t="str">
        <f t="shared" si="15"/>
        <v>0.165</v>
      </c>
      <c r="L32" t="str">
        <f t="shared" si="16"/>
        <v>0.154</v>
      </c>
      <c r="M32" t="str">
        <f t="shared" si="16"/>
        <v>0.339</v>
      </c>
      <c r="N32" t="str">
        <f t="shared" si="22"/>
        <v>0.184</v>
      </c>
      <c r="O32" t="str">
        <f xml:space="preserve"> RIGHT($A32,LEN(A32)-F32)</f>
        <v>0.168</v>
      </c>
      <c r="U32" t="str">
        <f xml:space="preserve"> RIGHT($A32,LEN(A32)-D32)</f>
        <v>0.339 0.184 0.168</v>
      </c>
      <c r="V32" t="e">
        <f xml:space="preserve"> RIGHT($A32,LEN(B32)-E32)</f>
        <v>#VALUE!</v>
      </c>
      <c r="W32" t="e">
        <f xml:space="preserve"> RIGHT($A32,LEN(C32)-F32)</f>
        <v>#VALUE!</v>
      </c>
      <c r="AB32" t="s">
        <v>583</v>
      </c>
      <c r="AC32" t="s">
        <v>584</v>
      </c>
      <c r="AD32" t="s">
        <v>585</v>
      </c>
      <c r="AE32" t="s">
        <v>481</v>
      </c>
      <c r="AF32" t="s">
        <v>586</v>
      </c>
      <c r="AG32" t="s">
        <v>587</v>
      </c>
    </row>
    <row r="33" spans="1:33" x14ac:dyDescent="0.35">
      <c r="A33" t="s">
        <v>458</v>
      </c>
      <c r="B33">
        <f t="shared" si="12"/>
        <v>4</v>
      </c>
      <c r="C33">
        <f t="shared" ref="C33:F33" si="37" xml:space="preserve"> FIND(" ", $A33, B33+1)</f>
        <v>10</v>
      </c>
      <c r="D33">
        <f t="shared" si="37"/>
        <v>16</v>
      </c>
      <c r="E33">
        <f t="shared" si="37"/>
        <v>22</v>
      </c>
      <c r="F33">
        <f t="shared" si="37"/>
        <v>28</v>
      </c>
      <c r="G33" t="e" cm="1">
        <f t="array" ref="G33">MATCH(TRUE, ISERR(B33:F33),0)</f>
        <v>#N/A</v>
      </c>
      <c r="J33" t="str">
        <f t="shared" si="14"/>
        <v>600</v>
      </c>
      <c r="K33" t="str">
        <f t="shared" si="15"/>
        <v>0.154</v>
      </c>
      <c r="L33" t="str">
        <f t="shared" si="16"/>
        <v>0.145</v>
      </c>
      <c r="M33" t="str">
        <f t="shared" si="16"/>
        <v>0.311</v>
      </c>
      <c r="N33" t="str">
        <f t="shared" si="22"/>
        <v>0.145</v>
      </c>
      <c r="O33" t="str">
        <f xml:space="preserve"> RIGHT($A33,LEN(A33)-F33)</f>
        <v>0.156</v>
      </c>
      <c r="U33" t="str">
        <f xml:space="preserve"> RIGHT($A33,LEN(A33)-D33)</f>
        <v>0.311 0.145 0.156</v>
      </c>
      <c r="V33" t="e">
        <f xml:space="preserve"> RIGHT($A33,LEN(B33)-E33)</f>
        <v>#VALUE!</v>
      </c>
      <c r="W33" t="e">
        <f xml:space="preserve"> RIGHT($A33,LEN(C33)-F33)</f>
        <v>#VALUE!</v>
      </c>
      <c r="AB33" t="s">
        <v>349</v>
      </c>
      <c r="AC33" t="s">
        <v>585</v>
      </c>
      <c r="AD33" t="s">
        <v>588</v>
      </c>
      <c r="AE33" t="s">
        <v>589</v>
      </c>
      <c r="AF33" t="s">
        <v>588</v>
      </c>
      <c r="AG33" t="s">
        <v>590</v>
      </c>
    </row>
    <row r="34" spans="1:33" x14ac:dyDescent="0.35">
      <c r="A34" t="s">
        <v>459</v>
      </c>
      <c r="B34">
        <f t="shared" si="12"/>
        <v>4</v>
      </c>
      <c r="C34">
        <f t="shared" ref="C34:F34" si="38" xml:space="preserve"> FIND(" ", $A34, B34+1)</f>
        <v>10</v>
      </c>
      <c r="D34">
        <f t="shared" si="38"/>
        <v>16</v>
      </c>
      <c r="E34">
        <f t="shared" si="38"/>
        <v>22</v>
      </c>
      <c r="F34">
        <f t="shared" si="38"/>
        <v>28</v>
      </c>
      <c r="G34" t="e" cm="1">
        <f t="array" ref="G34">MATCH(TRUE, ISERR(B34:F34),0)</f>
        <v>#N/A</v>
      </c>
      <c r="J34" t="str">
        <f t="shared" si="14"/>
        <v>650</v>
      </c>
      <c r="K34" t="str">
        <f t="shared" si="15"/>
        <v>0.145</v>
      </c>
      <c r="L34" t="str">
        <f t="shared" si="16"/>
        <v>0.136</v>
      </c>
      <c r="M34" t="str">
        <f t="shared" si="16"/>
        <v>0.299</v>
      </c>
      <c r="N34" t="str">
        <f t="shared" si="22"/>
        <v>0.169</v>
      </c>
      <c r="O34" t="str">
        <f xml:space="preserve"> RIGHT($A34,LEN(A34)-F34)</f>
        <v>0.142</v>
      </c>
      <c r="U34" t="str">
        <f xml:space="preserve"> RIGHT($A34,LEN(A34)-D34)</f>
        <v>0.299 0.169 0.142</v>
      </c>
      <c r="V34" t="e">
        <f xml:space="preserve"> RIGHT($A34,LEN(B34)-E34)</f>
        <v>#VALUE!</v>
      </c>
      <c r="W34" t="e">
        <f xml:space="preserve"> RIGHT($A34,LEN(C34)-F34)</f>
        <v>#VALUE!</v>
      </c>
      <c r="AB34" t="s">
        <v>591</v>
      </c>
      <c r="AC34" t="s">
        <v>588</v>
      </c>
      <c r="AD34" t="s">
        <v>592</v>
      </c>
      <c r="AE34" t="s">
        <v>476</v>
      </c>
      <c r="AF34" t="s">
        <v>579</v>
      </c>
      <c r="AG34" t="s">
        <v>593</v>
      </c>
    </row>
    <row r="35" spans="1:33" x14ac:dyDescent="0.35">
      <c r="A35" t="s">
        <v>460</v>
      </c>
      <c r="B35">
        <f t="shared" si="12"/>
        <v>4</v>
      </c>
      <c r="C35">
        <f t="shared" ref="C35:F35" si="39" xml:space="preserve"> FIND(" ", $A35, B35+1)</f>
        <v>10</v>
      </c>
      <c r="D35">
        <f t="shared" si="39"/>
        <v>16</v>
      </c>
      <c r="E35">
        <f t="shared" si="39"/>
        <v>22</v>
      </c>
      <c r="F35">
        <f t="shared" si="39"/>
        <v>28</v>
      </c>
      <c r="G35" t="e" cm="1">
        <f t="array" ref="G35">MATCH(TRUE, ISERR(B35:F35),0)</f>
        <v>#N/A</v>
      </c>
      <c r="J35" t="str">
        <f t="shared" si="14"/>
        <v>700</v>
      </c>
      <c r="K35" t="str">
        <f t="shared" si="15"/>
        <v>0.139</v>
      </c>
      <c r="L35" t="str">
        <f t="shared" si="16"/>
        <v>0.127</v>
      </c>
      <c r="M35" t="str">
        <f t="shared" si="16"/>
        <v>0.283</v>
      </c>
      <c r="N35" t="str">
        <f t="shared" si="22"/>
        <v>0.147</v>
      </c>
      <c r="O35" t="str">
        <f xml:space="preserve"> RIGHT($A35,LEN(A35)-F35)</f>
        <v>0.176</v>
      </c>
      <c r="U35" t="str">
        <f xml:space="preserve"> RIGHT($A35,LEN(A35)-D35)</f>
        <v>0.283 0.147 0.176</v>
      </c>
      <c r="V35" t="e">
        <f xml:space="preserve"> RIGHT($A35,LEN(B35)-E35)</f>
        <v>#VALUE!</v>
      </c>
      <c r="W35" t="e">
        <f xml:space="preserve"> RIGHT($A35,LEN(C35)-F35)</f>
        <v>#VALUE!</v>
      </c>
      <c r="AB35" t="s">
        <v>351</v>
      </c>
      <c r="AC35" t="s">
        <v>468</v>
      </c>
      <c r="AD35" t="s">
        <v>594</v>
      </c>
      <c r="AE35" t="s">
        <v>595</v>
      </c>
      <c r="AF35" t="s">
        <v>596</v>
      </c>
      <c r="AG35" t="s">
        <v>597</v>
      </c>
    </row>
    <row r="36" spans="1:33" x14ac:dyDescent="0.35">
      <c r="A36" t="s">
        <v>461</v>
      </c>
      <c r="B36">
        <f t="shared" si="12"/>
        <v>4</v>
      </c>
      <c r="C36">
        <f t="shared" ref="C36:F36" si="40" xml:space="preserve"> FIND(" ", $A36, B36+1)</f>
        <v>10</v>
      </c>
      <c r="D36">
        <f t="shared" si="40"/>
        <v>16</v>
      </c>
      <c r="E36">
        <f t="shared" si="40"/>
        <v>22</v>
      </c>
      <c r="F36">
        <f t="shared" si="40"/>
        <v>28</v>
      </c>
      <c r="G36" t="e" cm="1">
        <f t="array" ref="G36">MATCH(TRUE, ISERR(B36:F36),0)</f>
        <v>#N/A</v>
      </c>
      <c r="J36" t="str">
        <f t="shared" si="14"/>
        <v>750</v>
      </c>
      <c r="K36" t="str">
        <f t="shared" si="15"/>
        <v>0.132</v>
      </c>
      <c r="L36" t="str">
        <f t="shared" si="16"/>
        <v>0.123</v>
      </c>
      <c r="M36" t="str">
        <f t="shared" si="16"/>
        <v>0.268</v>
      </c>
      <c r="N36" t="str">
        <f t="shared" si="22"/>
        <v>0.157</v>
      </c>
      <c r="O36" t="str">
        <f xml:space="preserve"> RIGHT($A36,LEN(A36)-F36)</f>
        <v>0.147</v>
      </c>
      <c r="U36" t="str">
        <f xml:space="preserve"> RIGHT($A36,LEN(A36)-D36)</f>
        <v>0.268 0.157 0.147</v>
      </c>
      <c r="V36" t="e">
        <f xml:space="preserve"> RIGHT($A36,LEN(B36)-E36)</f>
        <v>#VALUE!</v>
      </c>
      <c r="W36" t="e">
        <f xml:space="preserve"> RIGHT($A36,LEN(C36)-F36)</f>
        <v>#VALUE!</v>
      </c>
      <c r="AB36" t="s">
        <v>598</v>
      </c>
      <c r="AC36" t="s">
        <v>599</v>
      </c>
      <c r="AD36" t="s">
        <v>600</v>
      </c>
      <c r="AE36" t="s">
        <v>601</v>
      </c>
      <c r="AF36" t="s">
        <v>527</v>
      </c>
      <c r="AG36" t="s">
        <v>596</v>
      </c>
    </row>
    <row r="37" spans="1:33" x14ac:dyDescent="0.35">
      <c r="A37" t="s">
        <v>462</v>
      </c>
      <c r="B37">
        <f t="shared" si="12"/>
        <v>4</v>
      </c>
      <c r="C37">
        <f t="shared" ref="C37:F37" si="41" xml:space="preserve"> FIND(" ", $A37, B37+1)</f>
        <v>10</v>
      </c>
      <c r="D37">
        <f t="shared" si="41"/>
        <v>16</v>
      </c>
      <c r="E37">
        <f t="shared" si="41"/>
        <v>22</v>
      </c>
      <c r="F37">
        <f t="shared" si="41"/>
        <v>28</v>
      </c>
      <c r="G37" t="e" cm="1">
        <f t="array" ref="G37">MATCH(TRUE, ISERR(B37:F37),0)</f>
        <v>#N/A</v>
      </c>
      <c r="J37" t="str">
        <f t="shared" si="14"/>
        <v>800</v>
      </c>
      <c r="K37" t="str">
        <f t="shared" si="15"/>
        <v>0.124</v>
      </c>
      <c r="L37" t="str">
        <f t="shared" si="16"/>
        <v>0.116</v>
      </c>
      <c r="M37" t="str">
        <f t="shared" si="16"/>
        <v>0.252</v>
      </c>
      <c r="N37" t="str">
        <f t="shared" si="22"/>
        <v>0.139</v>
      </c>
      <c r="O37" t="str">
        <f xml:space="preserve"> RIGHT($A37,LEN(A37)-F37)</f>
        <v>0.127</v>
      </c>
      <c r="U37" t="str">
        <f xml:space="preserve"> RIGHT($A37,LEN(A37)-D37)</f>
        <v>0.252 0.139 0.127</v>
      </c>
      <c r="V37" t="e">
        <f xml:space="preserve"> RIGHT($A37,LEN(B37)-E37)</f>
        <v>#VALUE!</v>
      </c>
      <c r="W37" t="e">
        <f xml:space="preserve"> RIGHT($A37,LEN(C37)-F37)</f>
        <v>#VALUE!</v>
      </c>
      <c r="AB37" t="s">
        <v>353</v>
      </c>
      <c r="AC37" t="s">
        <v>602</v>
      </c>
      <c r="AD37" t="s">
        <v>603</v>
      </c>
      <c r="AE37" t="s">
        <v>563</v>
      </c>
      <c r="AF37" t="s">
        <v>468</v>
      </c>
      <c r="AG37" t="s">
        <v>594</v>
      </c>
    </row>
    <row r="38" spans="1:33" x14ac:dyDescent="0.35">
      <c r="A38" t="s">
        <v>463</v>
      </c>
      <c r="B38">
        <f t="shared" si="12"/>
        <v>4</v>
      </c>
      <c r="C38">
        <f t="shared" ref="C38:F38" si="42" xml:space="preserve"> FIND(" ", $A38, B38+1)</f>
        <v>10</v>
      </c>
      <c r="D38">
        <f t="shared" si="42"/>
        <v>16</v>
      </c>
      <c r="E38">
        <f t="shared" si="42"/>
        <v>22</v>
      </c>
      <c r="F38">
        <f t="shared" si="42"/>
        <v>28</v>
      </c>
      <c r="G38" t="e" cm="1">
        <f t="array" ref="G38">MATCH(TRUE, ISERR(B38:F38),0)</f>
        <v>#N/A</v>
      </c>
      <c r="J38" t="str">
        <f t="shared" si="14"/>
        <v>850</v>
      </c>
      <c r="K38" t="str">
        <f t="shared" si="15"/>
        <v>0.119</v>
      </c>
      <c r="L38" t="str">
        <f t="shared" si="16"/>
        <v>0.108</v>
      </c>
      <c r="M38" t="str">
        <f t="shared" si="16"/>
        <v>0.238</v>
      </c>
      <c r="N38" t="str">
        <f t="shared" si="22"/>
        <v>0.129</v>
      </c>
      <c r="O38" t="str">
        <f xml:space="preserve"> RIGHT($A38,LEN(A38)-F38)</f>
        <v>0.127</v>
      </c>
      <c r="U38" t="str">
        <f xml:space="preserve"> RIGHT($A38,LEN(A38)-D38)</f>
        <v>0.238 0.129 0.127</v>
      </c>
      <c r="V38" t="e">
        <f xml:space="preserve"> RIGHT($A38,LEN(B38)-E38)</f>
        <v>#VALUE!</v>
      </c>
      <c r="W38" t="e">
        <f xml:space="preserve"> RIGHT($A38,LEN(C38)-F38)</f>
        <v>#VALUE!</v>
      </c>
      <c r="AB38" t="s">
        <v>604</v>
      </c>
      <c r="AC38" t="s">
        <v>605</v>
      </c>
      <c r="AD38" t="s">
        <v>521</v>
      </c>
      <c r="AE38" t="s">
        <v>606</v>
      </c>
      <c r="AF38" t="s">
        <v>607</v>
      </c>
      <c r="AG38" t="s">
        <v>594</v>
      </c>
    </row>
    <row r="39" spans="1:33" x14ac:dyDescent="0.35">
      <c r="A39" t="s">
        <v>464</v>
      </c>
      <c r="B39">
        <f t="shared" si="12"/>
        <v>4</v>
      </c>
      <c r="C39">
        <f t="shared" ref="C39:F39" si="43" xml:space="preserve"> FIND(" ", $A39, B39+1)</f>
        <v>10</v>
      </c>
      <c r="D39">
        <f t="shared" si="43"/>
        <v>16</v>
      </c>
      <c r="E39">
        <f t="shared" si="43"/>
        <v>22</v>
      </c>
      <c r="F39">
        <f t="shared" si="43"/>
        <v>29</v>
      </c>
      <c r="G39" t="e" cm="1">
        <f t="array" ref="G39">MATCH(TRUE, ISERR(B39:F39),0)</f>
        <v>#N/A</v>
      </c>
      <c r="J39" t="str">
        <f t="shared" si="14"/>
        <v>900</v>
      </c>
      <c r="K39" t="str">
        <f t="shared" si="15"/>
        <v>0.113</v>
      </c>
      <c r="L39" t="str">
        <f t="shared" si="16"/>
        <v>0.105</v>
      </c>
      <c r="M39" t="str">
        <f t="shared" si="16"/>
        <v>0.229</v>
      </c>
      <c r="N39" t="str">
        <f t="shared" si="22"/>
        <v>0.0965</v>
      </c>
      <c r="O39" t="str">
        <f xml:space="preserve"> RIGHT($A39,LEN(A39)-F39)</f>
        <v>0.100</v>
      </c>
      <c r="U39" t="str">
        <f xml:space="preserve"> RIGHT($A39,LEN(A39)-D39)</f>
        <v>0.229 0.0965 0.100</v>
      </c>
      <c r="V39" t="e">
        <f xml:space="preserve"> RIGHT($A39,LEN(B39)-E39)</f>
        <v>#VALUE!</v>
      </c>
      <c r="W39" t="e">
        <f xml:space="preserve"> RIGHT($A39,LEN(C39)-F39)</f>
        <v>#VALUE!</v>
      </c>
      <c r="AB39" t="s">
        <v>608</v>
      </c>
      <c r="AC39" t="s">
        <v>609</v>
      </c>
      <c r="AD39" t="s">
        <v>610</v>
      </c>
      <c r="AE39" t="s">
        <v>487</v>
      </c>
      <c r="AF39" t="s">
        <v>611</v>
      </c>
      <c r="AG39" t="s">
        <v>612</v>
      </c>
    </row>
    <row r="40" spans="1:33" x14ac:dyDescent="0.35">
      <c r="A40" t="s">
        <v>465</v>
      </c>
      <c r="B40">
        <f t="shared" si="12"/>
        <v>4</v>
      </c>
      <c r="C40">
        <f t="shared" ref="C40:F40" si="44" xml:space="preserve"> FIND(" ", $A40, B40+1)</f>
        <v>10</v>
      </c>
      <c r="D40">
        <f t="shared" si="44"/>
        <v>16</v>
      </c>
      <c r="E40">
        <f t="shared" si="44"/>
        <v>22</v>
      </c>
      <c r="F40">
        <f t="shared" si="44"/>
        <v>29</v>
      </c>
      <c r="G40" t="e" cm="1">
        <f t="array" ref="G40">MATCH(TRUE, ISERR(B40:F40),0)</f>
        <v>#N/A</v>
      </c>
      <c r="J40" t="str">
        <f t="shared" si="14"/>
        <v>950</v>
      </c>
      <c r="K40" t="str">
        <f t="shared" si="15"/>
        <v>0.110</v>
      </c>
      <c r="L40" t="str">
        <f t="shared" si="16"/>
        <v>0.101</v>
      </c>
      <c r="M40" t="str">
        <f t="shared" si="16"/>
        <v>0.222</v>
      </c>
      <c r="N40" t="str">
        <f t="shared" si="22"/>
        <v>0.0897</v>
      </c>
      <c r="O40" t="str">
        <f xml:space="preserve"> RIGHT($A40,LEN(A40)-F40)</f>
        <v>0.116</v>
      </c>
      <c r="U40" t="str">
        <f xml:space="preserve"> RIGHT($A40,LEN(A40)-D40)</f>
        <v>0.222 0.0897 0.116</v>
      </c>
      <c r="V40" t="e">
        <f xml:space="preserve"> RIGHT($A40,LEN(B40)-E40)</f>
        <v>#VALUE!</v>
      </c>
      <c r="W40" t="e">
        <f xml:space="preserve"> RIGHT($A40,LEN(C40)-F40)</f>
        <v>#VALUE!</v>
      </c>
      <c r="AB40" t="s">
        <v>613</v>
      </c>
      <c r="AC40" t="s">
        <v>614</v>
      </c>
      <c r="AD40" t="s">
        <v>615</v>
      </c>
      <c r="AE40" t="s">
        <v>616</v>
      </c>
      <c r="AF40" t="s">
        <v>617</v>
      </c>
      <c r="AG40" t="s">
        <v>603</v>
      </c>
    </row>
    <row r="41" spans="1:33" x14ac:dyDescent="0.35">
      <c r="A41" t="s">
        <v>466</v>
      </c>
      <c r="B41">
        <f t="shared" si="12"/>
        <v>5</v>
      </c>
      <c r="C41">
        <f t="shared" ref="C41:F41" si="45" xml:space="preserve"> FIND(" ", $A41, B41+1)</f>
        <v>11</v>
      </c>
      <c r="D41">
        <f t="shared" si="45"/>
        <v>18</v>
      </c>
      <c r="E41">
        <f t="shared" si="45"/>
        <v>24</v>
      </c>
      <c r="F41">
        <f t="shared" si="45"/>
        <v>31</v>
      </c>
      <c r="G41" t="e" cm="1">
        <f t="array" ref="G41">MATCH(TRUE, ISERR(B41:F41),0)</f>
        <v>#N/A</v>
      </c>
      <c r="J41" t="str">
        <f t="shared" si="14"/>
        <v>1000</v>
      </c>
      <c r="K41" t="str">
        <f t="shared" si="15"/>
        <v>0.103</v>
      </c>
      <c r="L41" t="str">
        <f t="shared" si="16"/>
        <v>0.0964</v>
      </c>
      <c r="M41" t="str">
        <f t="shared" si="16"/>
        <v>0.209</v>
      </c>
      <c r="N41" t="str">
        <f t="shared" si="22"/>
        <v>0.0984</v>
      </c>
      <c r="O41" t="str">
        <f xml:space="preserve"> RIGHT($A41,LEN(A41)-F41)</f>
        <v>0.103</v>
      </c>
      <c r="U41" t="str">
        <f xml:space="preserve"> RIGHT($A41,LEN(A41)-D41)</f>
        <v>0.209 0.0984 0.103</v>
      </c>
      <c r="V41" t="e">
        <f xml:space="preserve"> RIGHT($A41,LEN(B41)-E41)</f>
        <v>#VALUE!</v>
      </c>
      <c r="W41" t="e">
        <f xml:space="preserve"> RIGHT($A41,LEN(C41)-F41)</f>
        <v>#VALUE!</v>
      </c>
      <c r="AB41" t="s">
        <v>355</v>
      </c>
      <c r="AC41" t="s">
        <v>618</v>
      </c>
      <c r="AD41" t="s">
        <v>619</v>
      </c>
      <c r="AE41" t="s">
        <v>620</v>
      </c>
      <c r="AF41" t="s">
        <v>621</v>
      </c>
      <c r="AG41" t="s">
        <v>618</v>
      </c>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3AA9B3-4C19-45AF-B0CD-9A4845774F57}">
  <dimension ref="A3:D38"/>
  <sheetViews>
    <sheetView workbookViewId="0">
      <selection activeCell="C3" sqref="C3:D38"/>
    </sheetView>
  </sheetViews>
  <sheetFormatPr defaultRowHeight="14.5" x14ac:dyDescent="0.35"/>
  <sheetData>
    <row r="3" spans="1:4" x14ac:dyDescent="0.35">
      <c r="A3" t="s">
        <v>634</v>
      </c>
      <c r="B3">
        <f t="shared" ref="B3:B53" si="0">FIND(" ", A3)</f>
        <v>3</v>
      </c>
      <c r="C3" t="str">
        <f t="shared" ref="C3:C53" si="1">LEFT(A3, B3-1)</f>
        <v>45</v>
      </c>
      <c r="D3" t="str">
        <f t="shared" ref="D3:D53" si="2" xml:space="preserve"> RIGHT(A3, LEN(A3)-B3)</f>
        <v>0.166</v>
      </c>
    </row>
    <row r="4" spans="1:4" x14ac:dyDescent="0.35">
      <c r="A4" t="s">
        <v>635</v>
      </c>
      <c r="B4">
        <f t="shared" si="0"/>
        <v>3</v>
      </c>
      <c r="C4" t="str">
        <f t="shared" si="1"/>
        <v>50</v>
      </c>
      <c r="D4" t="str">
        <f t="shared" si="2"/>
        <v>0.393</v>
      </c>
    </row>
    <row r="5" spans="1:4" x14ac:dyDescent="0.35">
      <c r="A5" t="s">
        <v>636</v>
      </c>
      <c r="B5">
        <f t="shared" si="0"/>
        <v>3</v>
      </c>
      <c r="C5" t="str">
        <f t="shared" si="1"/>
        <v>55</v>
      </c>
      <c r="D5" t="str">
        <f t="shared" si="2"/>
        <v>0.686</v>
      </c>
    </row>
    <row r="6" spans="1:4" x14ac:dyDescent="0.35">
      <c r="A6" t="s">
        <v>637</v>
      </c>
      <c r="B6">
        <f t="shared" si="0"/>
        <v>3</v>
      </c>
      <c r="C6" t="str">
        <f t="shared" si="1"/>
        <v>60</v>
      </c>
      <c r="D6" t="str">
        <f t="shared" si="2"/>
        <v>1.06</v>
      </c>
    </row>
    <row r="7" spans="1:4" x14ac:dyDescent="0.35">
      <c r="A7" t="s">
        <v>638</v>
      </c>
      <c r="B7">
        <f t="shared" si="0"/>
        <v>3</v>
      </c>
      <c r="C7" t="str">
        <f t="shared" si="1"/>
        <v>65</v>
      </c>
      <c r="D7" t="str">
        <f t="shared" si="2"/>
        <v>1.26</v>
      </c>
    </row>
    <row r="8" spans="1:4" x14ac:dyDescent="0.35">
      <c r="A8" t="s">
        <v>639</v>
      </c>
      <c r="B8">
        <f t="shared" si="0"/>
        <v>3</v>
      </c>
      <c r="C8" t="str">
        <f t="shared" si="1"/>
        <v>70</v>
      </c>
      <c r="D8" t="str">
        <f t="shared" si="2"/>
        <v>1.59</v>
      </c>
    </row>
    <row r="9" spans="1:4" x14ac:dyDescent="0.35">
      <c r="A9" t="s">
        <v>640</v>
      </c>
      <c r="B9">
        <f t="shared" si="0"/>
        <v>3</v>
      </c>
      <c r="C9" t="str">
        <f t="shared" si="1"/>
        <v>75</v>
      </c>
      <c r="D9" t="str">
        <f t="shared" si="2"/>
        <v>1.72</v>
      </c>
    </row>
    <row r="10" spans="1:4" x14ac:dyDescent="0.35">
      <c r="A10" t="s">
        <v>641</v>
      </c>
      <c r="B10">
        <f t="shared" si="0"/>
        <v>3</v>
      </c>
      <c r="C10" t="str">
        <f t="shared" si="1"/>
        <v>80</v>
      </c>
      <c r="D10" t="str">
        <f t="shared" si="2"/>
        <v>2.06</v>
      </c>
    </row>
    <row r="11" spans="1:4" x14ac:dyDescent="0.35">
      <c r="A11" t="s">
        <v>642</v>
      </c>
      <c r="B11">
        <f t="shared" si="0"/>
        <v>3</v>
      </c>
      <c r="C11" t="str">
        <f t="shared" si="1"/>
        <v>85</v>
      </c>
      <c r="D11" t="str">
        <f t="shared" si="2"/>
        <v>2.19</v>
      </c>
    </row>
    <row r="12" spans="1:4" x14ac:dyDescent="0.35">
      <c r="A12" t="s">
        <v>643</v>
      </c>
      <c r="B12">
        <f t="shared" si="0"/>
        <v>3</v>
      </c>
      <c r="C12" t="str">
        <f t="shared" si="1"/>
        <v>90</v>
      </c>
      <c r="D12" t="str">
        <f t="shared" si="2"/>
        <v>2.27</v>
      </c>
    </row>
    <row r="13" spans="1:4" x14ac:dyDescent="0.35">
      <c r="A13" t="s">
        <v>644</v>
      </c>
      <c r="B13">
        <f t="shared" si="0"/>
        <v>3</v>
      </c>
      <c r="C13" t="str">
        <f t="shared" si="1"/>
        <v>95</v>
      </c>
      <c r="D13" t="str">
        <f t="shared" si="2"/>
        <v>2.46</v>
      </c>
    </row>
    <row r="14" spans="1:4" x14ac:dyDescent="0.35">
      <c r="A14" t="s">
        <v>645</v>
      </c>
      <c r="B14">
        <f t="shared" si="0"/>
        <v>4</v>
      </c>
      <c r="C14" t="str">
        <f t="shared" si="1"/>
        <v>100</v>
      </c>
      <c r="D14" t="str">
        <f t="shared" si="2"/>
        <v>2.65</v>
      </c>
    </row>
    <row r="15" spans="1:4" x14ac:dyDescent="0.35">
      <c r="A15" t="s">
        <v>646</v>
      </c>
      <c r="B15">
        <f t="shared" si="0"/>
        <v>4</v>
      </c>
      <c r="C15" t="str">
        <f t="shared" si="1"/>
        <v>110</v>
      </c>
      <c r="D15" t="str">
        <f t="shared" si="2"/>
        <v>2.85</v>
      </c>
    </row>
    <row r="16" spans="1:4" x14ac:dyDescent="0.35">
      <c r="A16" t="s">
        <v>647</v>
      </c>
      <c r="B16">
        <f t="shared" si="0"/>
        <v>4</v>
      </c>
      <c r="C16" t="str">
        <f t="shared" si="1"/>
        <v>120</v>
      </c>
      <c r="D16" t="str">
        <f t="shared" si="2"/>
        <v>2.90</v>
      </c>
    </row>
    <row r="17" spans="1:4" x14ac:dyDescent="0.35">
      <c r="A17" t="s">
        <v>648</v>
      </c>
      <c r="B17">
        <f t="shared" si="0"/>
        <v>4</v>
      </c>
      <c r="C17" t="str">
        <f t="shared" si="1"/>
        <v>140</v>
      </c>
      <c r="D17" t="str">
        <f t="shared" si="2"/>
        <v>2.94</v>
      </c>
    </row>
    <row r="18" spans="1:4" x14ac:dyDescent="0.35">
      <c r="A18" t="s">
        <v>649</v>
      </c>
      <c r="B18">
        <f t="shared" si="0"/>
        <v>4</v>
      </c>
      <c r="C18" t="str">
        <f t="shared" si="1"/>
        <v>160</v>
      </c>
      <c r="D18" t="str">
        <f t="shared" si="2"/>
        <v>2.90</v>
      </c>
    </row>
    <row r="19" spans="1:4" x14ac:dyDescent="0.35">
      <c r="A19" t="s">
        <v>650</v>
      </c>
      <c r="B19">
        <f t="shared" si="0"/>
        <v>4</v>
      </c>
      <c r="C19" t="str">
        <f t="shared" si="1"/>
        <v>180</v>
      </c>
      <c r="D19" t="str">
        <f t="shared" si="2"/>
        <v>2.85</v>
      </c>
    </row>
    <row r="20" spans="1:4" x14ac:dyDescent="0.35">
      <c r="A20" t="s">
        <v>651</v>
      </c>
      <c r="B20">
        <f t="shared" si="0"/>
        <v>4</v>
      </c>
      <c r="C20" t="str">
        <f t="shared" si="1"/>
        <v>200</v>
      </c>
      <c r="D20" t="str">
        <f t="shared" si="2"/>
        <v>2.72</v>
      </c>
    </row>
    <row r="21" spans="1:4" x14ac:dyDescent="0.35">
      <c r="A21" t="s">
        <v>652</v>
      </c>
      <c r="B21">
        <f t="shared" si="0"/>
        <v>4</v>
      </c>
      <c r="C21" t="str">
        <f t="shared" si="1"/>
        <v>225</v>
      </c>
      <c r="D21" t="str">
        <f t="shared" si="2"/>
        <v>2.57</v>
      </c>
    </row>
    <row r="22" spans="1:4" x14ac:dyDescent="0.35">
      <c r="A22" t="s">
        <v>653</v>
      </c>
      <c r="B22">
        <f t="shared" si="0"/>
        <v>4</v>
      </c>
      <c r="C22" t="str">
        <f t="shared" si="1"/>
        <v>250</v>
      </c>
      <c r="D22" t="str">
        <f t="shared" si="2"/>
        <v>2.32</v>
      </c>
    </row>
    <row r="23" spans="1:4" x14ac:dyDescent="0.35">
      <c r="A23" t="s">
        <v>654</v>
      </c>
      <c r="B23">
        <f t="shared" si="0"/>
        <v>4</v>
      </c>
      <c r="C23" t="str">
        <f t="shared" si="1"/>
        <v>275</v>
      </c>
      <c r="D23" t="str">
        <f t="shared" si="2"/>
        <v>2.31</v>
      </c>
    </row>
    <row r="24" spans="1:4" x14ac:dyDescent="0.35">
      <c r="A24" t="s">
        <v>655</v>
      </c>
      <c r="B24">
        <f t="shared" si="0"/>
        <v>4</v>
      </c>
      <c r="C24" t="str">
        <f t="shared" si="1"/>
        <v>300</v>
      </c>
      <c r="D24" t="str">
        <f t="shared" si="2"/>
        <v>2.03</v>
      </c>
    </row>
    <row r="25" spans="1:4" x14ac:dyDescent="0.35">
      <c r="A25" t="s">
        <v>656</v>
      </c>
      <c r="B25">
        <f t="shared" si="0"/>
        <v>4</v>
      </c>
      <c r="C25" t="str">
        <f t="shared" si="1"/>
        <v>350</v>
      </c>
      <c r="D25" t="str">
        <f t="shared" si="2"/>
        <v>1.83</v>
      </c>
    </row>
    <row r="26" spans="1:4" x14ac:dyDescent="0.35">
      <c r="A26" t="s">
        <v>657</v>
      </c>
      <c r="B26">
        <f t="shared" si="0"/>
        <v>4</v>
      </c>
      <c r="C26" t="str">
        <f t="shared" si="1"/>
        <v>400</v>
      </c>
      <c r="D26" t="str">
        <f t="shared" si="2"/>
        <v>1.75</v>
      </c>
    </row>
    <row r="27" spans="1:4" x14ac:dyDescent="0.35">
      <c r="A27" t="s">
        <v>658</v>
      </c>
      <c r="B27">
        <f t="shared" si="0"/>
        <v>4</v>
      </c>
      <c r="C27" t="str">
        <f t="shared" si="1"/>
        <v>450</v>
      </c>
      <c r="D27" t="str">
        <f t="shared" si="2"/>
        <v>1.65</v>
      </c>
    </row>
    <row r="28" spans="1:4" x14ac:dyDescent="0.35">
      <c r="A28" t="s">
        <v>659</v>
      </c>
      <c r="B28">
        <f t="shared" si="0"/>
        <v>4</v>
      </c>
      <c r="C28" t="str">
        <f t="shared" si="1"/>
        <v>500</v>
      </c>
      <c r="D28" t="str">
        <f t="shared" si="2"/>
        <v>1.41</v>
      </c>
    </row>
    <row r="29" spans="1:4" x14ac:dyDescent="0.35">
      <c r="A29" t="s">
        <v>660</v>
      </c>
      <c r="B29">
        <f t="shared" si="0"/>
        <v>4</v>
      </c>
      <c r="C29" t="str">
        <f t="shared" si="1"/>
        <v>550</v>
      </c>
      <c r="D29" t="str">
        <f t="shared" si="2"/>
        <v>1.28</v>
      </c>
    </row>
    <row r="30" spans="1:4" x14ac:dyDescent="0.35">
      <c r="A30" t="s">
        <v>661</v>
      </c>
      <c r="B30">
        <f t="shared" si="0"/>
        <v>4</v>
      </c>
      <c r="C30" t="str">
        <f t="shared" si="1"/>
        <v>600</v>
      </c>
      <c r="D30" t="str">
        <f t="shared" si="2"/>
        <v>1.25</v>
      </c>
    </row>
    <row r="31" spans="1:4" x14ac:dyDescent="0.35">
      <c r="A31" t="s">
        <v>662</v>
      </c>
      <c r="B31">
        <f t="shared" si="0"/>
        <v>4</v>
      </c>
      <c r="C31" t="str">
        <f t="shared" si="1"/>
        <v>650</v>
      </c>
      <c r="D31" t="str">
        <f t="shared" si="2"/>
        <v>1.13</v>
      </c>
    </row>
    <row r="32" spans="1:4" x14ac:dyDescent="0.35">
      <c r="A32" t="s">
        <v>663</v>
      </c>
      <c r="B32">
        <f t="shared" si="0"/>
        <v>4</v>
      </c>
      <c r="C32" t="str">
        <f t="shared" si="1"/>
        <v>700</v>
      </c>
      <c r="D32" t="str">
        <f t="shared" si="2"/>
        <v>1.06</v>
      </c>
    </row>
    <row r="33" spans="1:4" x14ac:dyDescent="0.35">
      <c r="A33" t="s">
        <v>664</v>
      </c>
      <c r="B33">
        <f t="shared" si="0"/>
        <v>4</v>
      </c>
      <c r="C33" t="str">
        <f t="shared" si="1"/>
        <v>750</v>
      </c>
      <c r="D33" t="str">
        <f t="shared" si="2"/>
        <v>0.986</v>
      </c>
    </row>
    <row r="34" spans="1:4" x14ac:dyDescent="0.35">
      <c r="A34" t="s">
        <v>665</v>
      </c>
      <c r="B34">
        <f t="shared" si="0"/>
        <v>4</v>
      </c>
      <c r="C34" t="str">
        <f t="shared" si="1"/>
        <v>800</v>
      </c>
      <c r="D34" t="str">
        <f t="shared" si="2"/>
        <v>0.961</v>
      </c>
    </row>
    <row r="35" spans="1:4" x14ac:dyDescent="0.35">
      <c r="A35" t="s">
        <v>666</v>
      </c>
      <c r="B35">
        <f t="shared" si="0"/>
        <v>4</v>
      </c>
      <c r="C35" t="str">
        <f t="shared" si="1"/>
        <v>850</v>
      </c>
      <c r="D35" t="str">
        <f t="shared" si="2"/>
        <v>0.883</v>
      </c>
    </row>
    <row r="36" spans="1:4" x14ac:dyDescent="0.35">
      <c r="A36" t="s">
        <v>667</v>
      </c>
      <c r="B36">
        <f t="shared" si="0"/>
        <v>4</v>
      </c>
      <c r="C36" t="str">
        <f t="shared" si="1"/>
        <v>900</v>
      </c>
      <c r="D36" t="str">
        <f t="shared" si="2"/>
        <v>0.823</v>
      </c>
    </row>
    <row r="37" spans="1:4" x14ac:dyDescent="0.35">
      <c r="A37" t="s">
        <v>668</v>
      </c>
      <c r="B37">
        <f t="shared" si="0"/>
        <v>4</v>
      </c>
      <c r="C37" t="str">
        <f t="shared" si="1"/>
        <v>950</v>
      </c>
      <c r="D37" t="str">
        <f t="shared" si="2"/>
        <v>0.741</v>
      </c>
    </row>
    <row r="38" spans="1:4" x14ac:dyDescent="0.35">
      <c r="A38" t="s">
        <v>669</v>
      </c>
      <c r="B38">
        <f t="shared" si="0"/>
        <v>5</v>
      </c>
      <c r="C38" t="str">
        <f t="shared" si="1"/>
        <v>1000</v>
      </c>
      <c r="D38" t="str">
        <f t="shared" si="2"/>
        <v>0.723</v>
      </c>
    </row>
  </sheetData>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A8D1642-E5C2-43C9-98AE-FD6EE8BB5859}">
  <dimension ref="A3:Q53"/>
  <sheetViews>
    <sheetView tabSelected="1" workbookViewId="0">
      <selection activeCell="I31" sqref="I31:M53"/>
    </sheetView>
  </sheetViews>
  <sheetFormatPr defaultRowHeight="14.5" x14ac:dyDescent="0.35"/>
  <cols>
    <col min="1" max="1" width="28.36328125" customWidth="1"/>
  </cols>
  <sheetData>
    <row r="3" spans="1:17" x14ac:dyDescent="0.35">
      <c r="A3" t="s">
        <v>670</v>
      </c>
      <c r="B3">
        <f>FIND(" ", A3)</f>
        <v>2</v>
      </c>
      <c r="C3">
        <f xml:space="preserve"> FIND(" ", $A3, B3+1)</f>
        <v>8</v>
      </c>
      <c r="D3">
        <f t="shared" ref="D3:F3" si="0" xml:space="preserve"> FIND(" ", $A3, C3+1)</f>
        <v>14</v>
      </c>
      <c r="E3">
        <f t="shared" si="0"/>
        <v>20</v>
      </c>
      <c r="F3" t="e">
        <f t="shared" si="0"/>
        <v>#VALUE!</v>
      </c>
      <c r="G3" cm="1">
        <f t="array" ref="G3">MATCH(TRUE, ISERR(B3:F3),0)</f>
        <v>5</v>
      </c>
      <c r="J3" t="str">
        <f>LEFT(A3, B3-1)</f>
        <v>1</v>
      </c>
      <c r="K3" t="str">
        <f xml:space="preserve"> RIGHT(LEFT($A3,C3-1),C3-B3-1)</f>
        <v>16.08</v>
      </c>
      <c r="L3" t="str">
        <f xml:space="preserve"> RIGHT(LEFT($A3,D3-1),D3-C3-1)</f>
        <v>22.38</v>
      </c>
      <c r="M3" t="str">
        <f t="shared" ref="M3:N3" si="1" xml:space="preserve"> RIGHT(LEFT($A3,E3-1),E3-D3-1)</f>
        <v>15.66</v>
      </c>
      <c r="N3" t="e">
        <f t="shared" si="1"/>
        <v>#VALUE!</v>
      </c>
      <c r="O3" t="e">
        <f xml:space="preserve"> RIGHT($A3,LEN(A3)-F3)</f>
        <v>#VALUE!</v>
      </c>
      <c r="Q3" t="str">
        <f ca="1" xml:space="preserve"> RIGHT($A3,LEN(A3)-OFFSET(B3,0,G3-2))</f>
        <v>12.66</v>
      </c>
    </row>
    <row r="4" spans="1:17" x14ac:dyDescent="0.35">
      <c r="A4" t="s">
        <v>671</v>
      </c>
      <c r="B4">
        <f>FIND(" ", A4)</f>
        <v>2</v>
      </c>
      <c r="C4">
        <f t="shared" ref="C4:F19" si="2" xml:space="preserve"> FIND(" ", $A4, B4+1)</f>
        <v>8</v>
      </c>
      <c r="D4">
        <f t="shared" si="2"/>
        <v>14</v>
      </c>
      <c r="E4">
        <f t="shared" si="2"/>
        <v>20</v>
      </c>
      <c r="F4" t="e">
        <f t="shared" si="2"/>
        <v>#VALUE!</v>
      </c>
      <c r="G4" cm="1">
        <f t="array" ref="G4">MATCH(TRUE, ISERR(B4:F4),0)</f>
        <v>5</v>
      </c>
      <c r="J4" t="str">
        <f t="shared" ref="J4:J25" si="3">LEFT(A4, B4-1)</f>
        <v>2</v>
      </c>
      <c r="K4" t="str">
        <f t="shared" ref="K4:K25" si="4" xml:space="preserve"> RIGHT(LEFT($A4,C4-1),C4-B4-1)</f>
        <v>25.47</v>
      </c>
      <c r="L4" t="str">
        <f t="shared" ref="L4:L25" si="5" xml:space="preserve"> RIGHT(LEFT($A4,D4-1),D4-C4-1)</f>
        <v>27.62</v>
      </c>
      <c r="M4" t="str">
        <f t="shared" ref="M4:M25" si="6" xml:space="preserve"> RIGHT(LEFT($A4,E4-1),E4-D4-1)</f>
        <v>19.29</v>
      </c>
      <c r="N4" t="e">
        <f t="shared" ref="N4:N25" si="7" xml:space="preserve"> RIGHT(LEFT($A4,F4-1),F4-E4-1)</f>
        <v>#VALUE!</v>
      </c>
      <c r="Q4" t="str">
        <f t="shared" ref="Q4:Q25" ca="1" si="8" xml:space="preserve"> RIGHT($A4,LEN(A4)-OFFSET(B4,0,G4-2))</f>
        <v>12.50</v>
      </c>
    </row>
    <row r="5" spans="1:17" x14ac:dyDescent="0.35">
      <c r="A5" t="s">
        <v>672</v>
      </c>
      <c r="B5">
        <f>FIND(" ", A5)</f>
        <v>2</v>
      </c>
      <c r="C5">
        <f t="shared" si="2"/>
        <v>8</v>
      </c>
      <c r="D5">
        <f t="shared" si="2"/>
        <v>14</v>
      </c>
      <c r="E5">
        <f t="shared" si="2"/>
        <v>20</v>
      </c>
      <c r="F5" t="e">
        <f t="shared" si="2"/>
        <v>#VALUE!</v>
      </c>
      <c r="G5" cm="1">
        <f t="array" ref="G5">MATCH(TRUE, ISERR(B5:F5),0)</f>
        <v>5</v>
      </c>
      <c r="J5" t="str">
        <f t="shared" si="3"/>
        <v>3</v>
      </c>
      <c r="K5" t="str">
        <f t="shared" si="4"/>
        <v>23.37</v>
      </c>
      <c r="L5" t="str">
        <f t="shared" si="5"/>
        <v>26.62</v>
      </c>
      <c r="M5" t="str">
        <f t="shared" si="6"/>
        <v>20.12</v>
      </c>
      <c r="N5" t="e">
        <f t="shared" si="7"/>
        <v>#VALUE!</v>
      </c>
      <c r="Q5" t="str">
        <f t="shared" ca="1" si="8"/>
        <v>14.44</v>
      </c>
    </row>
    <row r="6" spans="1:17" x14ac:dyDescent="0.35">
      <c r="A6" t="s">
        <v>673</v>
      </c>
      <c r="B6">
        <f>FIND(" ", A6)</f>
        <v>2</v>
      </c>
      <c r="C6">
        <f t="shared" si="2"/>
        <v>8</v>
      </c>
      <c r="D6">
        <f t="shared" si="2"/>
        <v>14</v>
      </c>
      <c r="E6">
        <f t="shared" si="2"/>
        <v>20</v>
      </c>
      <c r="F6" t="e">
        <f t="shared" si="2"/>
        <v>#VALUE!</v>
      </c>
      <c r="G6" cm="1">
        <f t="array" ref="G6">MATCH(TRUE, ISERR(B6:F6),0)</f>
        <v>5</v>
      </c>
      <c r="J6" t="str">
        <f t="shared" si="3"/>
        <v>4</v>
      </c>
      <c r="K6" t="str">
        <f t="shared" si="4"/>
        <v>16.57</v>
      </c>
      <c r="L6" t="str">
        <f t="shared" si="5"/>
        <v>19.94</v>
      </c>
      <c r="M6" t="str">
        <f t="shared" si="6"/>
        <v>17.52</v>
      </c>
      <c r="N6" t="e">
        <f t="shared" si="7"/>
        <v>#VALUE!</v>
      </c>
      <c r="Q6" t="str">
        <f t="shared" ca="1" si="8"/>
        <v>11.43</v>
      </c>
    </row>
    <row r="7" spans="1:17" x14ac:dyDescent="0.35">
      <c r="A7" t="s">
        <v>674</v>
      </c>
      <c r="B7">
        <f>FIND(" ", A7)</f>
        <v>2</v>
      </c>
      <c r="C7">
        <f t="shared" si="2"/>
        <v>8</v>
      </c>
      <c r="D7">
        <f t="shared" si="2"/>
        <v>14</v>
      </c>
      <c r="E7">
        <f t="shared" si="2"/>
        <v>20</v>
      </c>
      <c r="F7" t="e">
        <f t="shared" si="2"/>
        <v>#VALUE!</v>
      </c>
      <c r="G7" cm="1">
        <f t="array" ref="G7">MATCH(TRUE, ISERR(B7:F7),0)</f>
        <v>5</v>
      </c>
      <c r="J7" t="str">
        <f t="shared" si="3"/>
        <v>5</v>
      </c>
      <c r="K7" t="str">
        <f t="shared" si="4"/>
        <v>14.60</v>
      </c>
      <c r="L7" t="str">
        <f t="shared" si="5"/>
        <v>17.53</v>
      </c>
      <c r="M7" t="str">
        <f t="shared" si="6"/>
        <v>14.44</v>
      </c>
      <c r="N7" t="e">
        <f t="shared" si="7"/>
        <v>#VALUE!</v>
      </c>
      <c r="Q7" t="str">
        <f t="shared" ca="1" si="8"/>
        <v>10.51</v>
      </c>
    </row>
    <row r="8" spans="1:17" x14ac:dyDescent="0.35">
      <c r="A8" t="s">
        <v>675</v>
      </c>
      <c r="B8">
        <f>FIND(" ", A8)</f>
        <v>2</v>
      </c>
      <c r="C8">
        <f t="shared" si="2"/>
        <v>8</v>
      </c>
      <c r="D8">
        <f t="shared" si="2"/>
        <v>14</v>
      </c>
      <c r="E8">
        <f t="shared" si="2"/>
        <v>20</v>
      </c>
      <c r="F8" t="e">
        <f t="shared" si="2"/>
        <v>#VALUE!</v>
      </c>
      <c r="G8" cm="1">
        <f t="array" ref="G8">MATCH(TRUE, ISERR(B8:F8),0)</f>
        <v>5</v>
      </c>
      <c r="J8" t="str">
        <f t="shared" si="3"/>
        <v>6</v>
      </c>
      <c r="K8" t="str">
        <f t="shared" si="4"/>
        <v>13.51</v>
      </c>
      <c r="L8" t="str">
        <f t="shared" si="5"/>
        <v>19.40</v>
      </c>
      <c r="M8" t="str">
        <f t="shared" si="6"/>
        <v>12.90</v>
      </c>
      <c r="N8" t="e">
        <f t="shared" si="7"/>
        <v>#VALUE!</v>
      </c>
      <c r="Q8" t="str">
        <f t="shared" ca="1" si="8"/>
        <v>9.32</v>
      </c>
    </row>
    <row r="9" spans="1:17" x14ac:dyDescent="0.35">
      <c r="A9" t="s">
        <v>676</v>
      </c>
      <c r="B9">
        <f>FIND(" ", A9)</f>
        <v>2</v>
      </c>
      <c r="C9">
        <f t="shared" si="2"/>
        <v>8</v>
      </c>
      <c r="D9">
        <f t="shared" si="2"/>
        <v>14</v>
      </c>
      <c r="E9">
        <f t="shared" si="2"/>
        <v>20</v>
      </c>
      <c r="F9" t="e">
        <f t="shared" si="2"/>
        <v>#VALUE!</v>
      </c>
      <c r="G9" cm="1">
        <f t="array" ref="G9">MATCH(TRUE, ISERR(B9:F9),0)</f>
        <v>5</v>
      </c>
      <c r="J9" t="str">
        <f t="shared" si="3"/>
        <v>8</v>
      </c>
      <c r="K9" t="str">
        <f t="shared" si="4"/>
        <v>12.79</v>
      </c>
      <c r="L9" t="str">
        <f t="shared" si="5"/>
        <v>12.85</v>
      </c>
      <c r="M9" t="str">
        <f t="shared" si="6"/>
        <v>10.64</v>
      </c>
      <c r="N9" t="e">
        <f t="shared" si="7"/>
        <v>#VALUE!</v>
      </c>
      <c r="Q9" t="str">
        <f t="shared" ca="1" si="8"/>
        <v>7.70</v>
      </c>
    </row>
    <row r="10" spans="1:17" x14ac:dyDescent="0.35">
      <c r="A10" t="s">
        <v>677</v>
      </c>
      <c r="B10">
        <f>FIND(" ", A10)</f>
        <v>3</v>
      </c>
      <c r="C10">
        <f t="shared" si="2"/>
        <v>9</v>
      </c>
      <c r="D10">
        <f t="shared" si="2"/>
        <v>15</v>
      </c>
      <c r="E10">
        <f t="shared" si="2"/>
        <v>20</v>
      </c>
      <c r="F10" t="e">
        <f t="shared" si="2"/>
        <v>#VALUE!</v>
      </c>
      <c r="G10" cm="1">
        <f t="array" ref="G10">MATCH(TRUE, ISERR(B10:F10),0)</f>
        <v>5</v>
      </c>
      <c r="J10" t="str">
        <f t="shared" si="3"/>
        <v>10</v>
      </c>
      <c r="K10" t="str">
        <f t="shared" si="4"/>
        <v>12.50</v>
      </c>
      <c r="L10" t="str">
        <f t="shared" si="5"/>
        <v>10.12</v>
      </c>
      <c r="M10" t="str">
        <f t="shared" si="6"/>
        <v>8.76</v>
      </c>
      <c r="N10" t="e">
        <f t="shared" si="7"/>
        <v>#VALUE!</v>
      </c>
      <c r="Q10" t="str">
        <f t="shared" ca="1" si="8"/>
        <v>6.30</v>
      </c>
    </row>
    <row r="11" spans="1:17" x14ac:dyDescent="0.35">
      <c r="A11" t="s">
        <v>678</v>
      </c>
      <c r="B11">
        <f>FIND(" ", A11)</f>
        <v>3</v>
      </c>
      <c r="C11">
        <f t="shared" si="2"/>
        <v>9</v>
      </c>
      <c r="D11">
        <f t="shared" si="2"/>
        <v>14</v>
      </c>
      <c r="E11">
        <f t="shared" si="2"/>
        <v>19</v>
      </c>
      <c r="F11" t="e">
        <f t="shared" si="2"/>
        <v>#VALUE!</v>
      </c>
      <c r="G11" cm="1">
        <f t="array" ref="G11">MATCH(TRUE, ISERR(B11:F11),0)</f>
        <v>5</v>
      </c>
      <c r="J11" t="str">
        <f t="shared" si="3"/>
        <v>12</v>
      </c>
      <c r="K11" t="str">
        <f t="shared" si="4"/>
        <v>11.26</v>
      </c>
      <c r="L11" t="str">
        <f t="shared" si="5"/>
        <v>8.55</v>
      </c>
      <c r="M11" t="str">
        <f t="shared" si="6"/>
        <v>7.39</v>
      </c>
      <c r="N11" t="e">
        <f t="shared" si="7"/>
        <v>#VALUE!</v>
      </c>
      <c r="Q11" t="str">
        <f t="shared" ca="1" si="8"/>
        <v>5.47</v>
      </c>
    </row>
    <row r="12" spans="1:17" x14ac:dyDescent="0.35">
      <c r="A12" t="s">
        <v>679</v>
      </c>
      <c r="B12">
        <f>FIND(" ", A12)</f>
        <v>3</v>
      </c>
      <c r="C12">
        <f t="shared" si="2"/>
        <v>8</v>
      </c>
      <c r="D12">
        <f t="shared" si="2"/>
        <v>13</v>
      </c>
      <c r="E12">
        <f t="shared" si="2"/>
        <v>18</v>
      </c>
      <c r="F12" t="e">
        <f t="shared" si="2"/>
        <v>#VALUE!</v>
      </c>
      <c r="G12" cm="1">
        <f t="array" ref="G12">MATCH(TRUE, ISERR(B12:F12),0)</f>
        <v>5</v>
      </c>
      <c r="J12" t="str">
        <f t="shared" si="3"/>
        <v>15</v>
      </c>
      <c r="K12" t="str">
        <f t="shared" si="4"/>
        <v>9.61</v>
      </c>
      <c r="L12" t="str">
        <f t="shared" si="5"/>
        <v>8.18</v>
      </c>
      <c r="M12" t="str">
        <f t="shared" si="6"/>
        <v>5.77</v>
      </c>
      <c r="N12" t="e">
        <f t="shared" si="7"/>
        <v>#VALUE!</v>
      </c>
      <c r="Q12" t="str">
        <f t="shared" ca="1" si="8"/>
        <v>4.52</v>
      </c>
    </row>
    <row r="13" spans="1:17" x14ac:dyDescent="0.35">
      <c r="A13" t="s">
        <v>680</v>
      </c>
      <c r="B13">
        <f>FIND(" ", A13)</f>
        <v>3</v>
      </c>
      <c r="C13">
        <f t="shared" si="2"/>
        <v>8</v>
      </c>
      <c r="D13">
        <f t="shared" si="2"/>
        <v>13</v>
      </c>
      <c r="E13" t="e">
        <f t="shared" si="2"/>
        <v>#VALUE!</v>
      </c>
      <c r="F13" t="e">
        <f t="shared" si="2"/>
        <v>#VALUE!</v>
      </c>
      <c r="G13" cm="1">
        <f t="array" ref="G13">MATCH(TRUE, ISERR(B13:F13),0)</f>
        <v>4</v>
      </c>
      <c r="J13" t="str">
        <f t="shared" si="3"/>
        <v>20</v>
      </c>
      <c r="K13" t="str">
        <f t="shared" si="4"/>
        <v>6.18</v>
      </c>
      <c r="L13" t="str">
        <f t="shared" si="5"/>
        <v>4.46</v>
      </c>
      <c r="M13" t="e">
        <f t="shared" si="6"/>
        <v>#VALUE!</v>
      </c>
      <c r="N13" t="e">
        <f t="shared" si="7"/>
        <v>#VALUE!</v>
      </c>
      <c r="Q13" t="str">
        <f t="shared" ca="1" si="8"/>
        <v>3.26</v>
      </c>
    </row>
    <row r="14" spans="1:17" x14ac:dyDescent="0.35">
      <c r="A14" t="s">
        <v>681</v>
      </c>
      <c r="B14">
        <f t="shared" ref="B14:B42" si="9">FIND(" ", A14)</f>
        <v>3</v>
      </c>
      <c r="C14">
        <f t="shared" si="2"/>
        <v>8</v>
      </c>
      <c r="D14">
        <f t="shared" si="2"/>
        <v>13</v>
      </c>
      <c r="E14" t="e">
        <f t="shared" si="2"/>
        <v>#VALUE!</v>
      </c>
      <c r="F14" t="e">
        <f t="shared" si="2"/>
        <v>#VALUE!</v>
      </c>
      <c r="G14" cm="1">
        <f t="array" ref="G14">MATCH(TRUE, ISERR(B14:F14),0)</f>
        <v>4</v>
      </c>
      <c r="J14" t="str">
        <f t="shared" si="3"/>
        <v>25</v>
      </c>
      <c r="K14" t="str">
        <f t="shared" si="4"/>
        <v>4.18</v>
      </c>
      <c r="L14" t="str">
        <f t="shared" si="5"/>
        <v>3.22</v>
      </c>
      <c r="M14" t="e">
        <f t="shared" si="6"/>
        <v>#VALUE!</v>
      </c>
      <c r="N14" t="e">
        <f t="shared" si="7"/>
        <v>#VALUE!</v>
      </c>
      <c r="Q14" t="str">
        <f t="shared" ca="1" si="8"/>
        <v>2.38</v>
      </c>
    </row>
    <row r="15" spans="1:17" x14ac:dyDescent="0.35">
      <c r="A15" t="s">
        <v>682</v>
      </c>
      <c r="B15">
        <f t="shared" si="9"/>
        <v>3</v>
      </c>
      <c r="C15">
        <f t="shared" si="2"/>
        <v>8</v>
      </c>
      <c r="D15">
        <f t="shared" si="2"/>
        <v>13</v>
      </c>
      <c r="E15" t="e">
        <f t="shared" si="2"/>
        <v>#VALUE!</v>
      </c>
      <c r="F15" t="e">
        <f t="shared" si="2"/>
        <v>#VALUE!</v>
      </c>
      <c r="G15" cm="1">
        <f t="array" ref="G15">MATCH(TRUE, ISERR(B15:F15),0)</f>
        <v>4</v>
      </c>
      <c r="J15" t="str">
        <f t="shared" si="3"/>
        <v>30</v>
      </c>
      <c r="K15" t="str">
        <f t="shared" si="4"/>
        <v>3.14</v>
      </c>
      <c r="L15" t="str">
        <f t="shared" si="5"/>
        <v>2.52</v>
      </c>
      <c r="M15" t="e">
        <f t="shared" si="6"/>
        <v>#VALUE!</v>
      </c>
      <c r="N15" t="e">
        <f t="shared" si="7"/>
        <v>#VALUE!</v>
      </c>
      <c r="Q15" t="str">
        <f t="shared" ca="1" si="8"/>
        <v>1.76</v>
      </c>
    </row>
    <row r="16" spans="1:17" x14ac:dyDescent="0.35">
      <c r="A16" t="s">
        <v>683</v>
      </c>
      <c r="B16">
        <f t="shared" si="9"/>
        <v>3</v>
      </c>
      <c r="C16">
        <f t="shared" si="2"/>
        <v>8</v>
      </c>
      <c r="D16">
        <f t="shared" si="2"/>
        <v>13</v>
      </c>
      <c r="E16" t="e">
        <f t="shared" si="2"/>
        <v>#VALUE!</v>
      </c>
      <c r="F16" t="e">
        <f t="shared" si="2"/>
        <v>#VALUE!</v>
      </c>
      <c r="G16" cm="1">
        <f t="array" ref="G16">MATCH(TRUE, ISERR(B16:F16),0)</f>
        <v>4</v>
      </c>
      <c r="J16" t="str">
        <f t="shared" si="3"/>
        <v>35</v>
      </c>
      <c r="K16" t="str">
        <f t="shared" si="4"/>
        <v>2.87</v>
      </c>
      <c r="L16" t="str">
        <f t="shared" si="5"/>
        <v>1.77</v>
      </c>
      <c r="M16" t="e">
        <f t="shared" si="6"/>
        <v>#VALUE!</v>
      </c>
      <c r="N16" t="e">
        <f t="shared" si="7"/>
        <v>#VALUE!</v>
      </c>
      <c r="Q16" t="str">
        <f t="shared" ca="1" si="8"/>
        <v>1.32</v>
      </c>
    </row>
    <row r="17" spans="1:17" x14ac:dyDescent="0.35">
      <c r="A17" t="s">
        <v>684</v>
      </c>
      <c r="B17">
        <f t="shared" si="9"/>
        <v>3</v>
      </c>
      <c r="C17">
        <f t="shared" si="2"/>
        <v>8</v>
      </c>
      <c r="D17">
        <f t="shared" si="2"/>
        <v>13</v>
      </c>
      <c r="E17" t="e">
        <f t="shared" si="2"/>
        <v>#VALUE!</v>
      </c>
      <c r="F17" t="e">
        <f t="shared" si="2"/>
        <v>#VALUE!</v>
      </c>
      <c r="G17" cm="1">
        <f t="array" ref="G17">MATCH(TRUE, ISERR(B17:F17),0)</f>
        <v>4</v>
      </c>
      <c r="J17" t="str">
        <f t="shared" si="3"/>
        <v>40</v>
      </c>
      <c r="K17" t="str">
        <f t="shared" si="4"/>
        <v>2.65</v>
      </c>
      <c r="L17" t="str">
        <f t="shared" si="5"/>
        <v>1.32</v>
      </c>
      <c r="M17" t="e">
        <f t="shared" si="6"/>
        <v>#VALUE!</v>
      </c>
      <c r="N17" t="e">
        <f t="shared" si="7"/>
        <v>#VALUE!</v>
      </c>
      <c r="Q17" t="str">
        <f t="shared" ca="1" si="8"/>
        <v>1.04</v>
      </c>
    </row>
    <row r="18" spans="1:17" x14ac:dyDescent="0.35">
      <c r="A18" t="s">
        <v>685</v>
      </c>
      <c r="B18">
        <f t="shared" si="9"/>
        <v>3</v>
      </c>
      <c r="C18">
        <f t="shared" si="2"/>
        <v>8</v>
      </c>
      <c r="D18" t="e">
        <f t="shared" si="2"/>
        <v>#VALUE!</v>
      </c>
      <c r="E18" t="e">
        <f t="shared" si="2"/>
        <v>#VALUE!</v>
      </c>
      <c r="F18" t="e">
        <f t="shared" si="2"/>
        <v>#VALUE!</v>
      </c>
      <c r="G18" cm="1">
        <f t="array" ref="G18">MATCH(TRUE, ISERR(B18:F18),0)</f>
        <v>3</v>
      </c>
      <c r="J18" t="str">
        <f t="shared" si="3"/>
        <v>50</v>
      </c>
      <c r="K18" t="str">
        <f t="shared" si="4"/>
        <v>0.81</v>
      </c>
      <c r="L18" t="e">
        <f t="shared" si="5"/>
        <v>#VALUE!</v>
      </c>
      <c r="M18" t="e">
        <f t="shared" si="6"/>
        <v>#VALUE!</v>
      </c>
      <c r="N18" t="e">
        <f t="shared" si="7"/>
        <v>#VALUE!</v>
      </c>
      <c r="Q18" t="str">
        <f t="shared" ca="1" si="8"/>
        <v>0.687</v>
      </c>
    </row>
    <row r="19" spans="1:17" x14ac:dyDescent="0.35">
      <c r="A19" t="s">
        <v>686</v>
      </c>
      <c r="B19">
        <f t="shared" si="9"/>
        <v>3</v>
      </c>
      <c r="C19">
        <f t="shared" si="2"/>
        <v>8</v>
      </c>
      <c r="D19" t="e">
        <f t="shared" si="2"/>
        <v>#VALUE!</v>
      </c>
      <c r="E19" t="e">
        <f t="shared" si="2"/>
        <v>#VALUE!</v>
      </c>
      <c r="F19" t="e">
        <f t="shared" si="2"/>
        <v>#VALUE!</v>
      </c>
      <c r="G19" cm="1">
        <f t="array" ref="G19">MATCH(TRUE, ISERR(B19:F19),0)</f>
        <v>3</v>
      </c>
      <c r="J19" t="str">
        <f t="shared" si="3"/>
        <v>65</v>
      </c>
      <c r="K19" t="str">
        <f t="shared" si="4"/>
        <v>0.56</v>
      </c>
      <c r="L19" t="e">
        <f t="shared" si="5"/>
        <v>#VALUE!</v>
      </c>
      <c r="M19" t="e">
        <f t="shared" si="6"/>
        <v>#VALUE!</v>
      </c>
      <c r="N19" t="e">
        <f t="shared" si="7"/>
        <v>#VALUE!</v>
      </c>
      <c r="Q19" t="str">
        <f t="shared" ca="1" si="8"/>
        <v>0.401</v>
      </c>
    </row>
    <row r="20" spans="1:17" x14ac:dyDescent="0.35">
      <c r="A20" t="s">
        <v>687</v>
      </c>
      <c r="B20">
        <f t="shared" si="9"/>
        <v>3</v>
      </c>
      <c r="C20">
        <f t="shared" ref="C20:F35" si="10" xml:space="preserve"> FIND(" ", $A20, B20+1)</f>
        <v>8</v>
      </c>
      <c r="D20" t="e">
        <f t="shared" si="10"/>
        <v>#VALUE!</v>
      </c>
      <c r="E20" t="e">
        <f t="shared" si="10"/>
        <v>#VALUE!</v>
      </c>
      <c r="F20" t="e">
        <f t="shared" si="10"/>
        <v>#VALUE!</v>
      </c>
      <c r="G20" cm="1">
        <f t="array" ref="G20">MATCH(TRUE, ISERR(B20:F20),0)</f>
        <v>3</v>
      </c>
      <c r="J20" t="str">
        <f t="shared" si="3"/>
        <v>80</v>
      </c>
      <c r="K20" t="str">
        <f t="shared" si="4"/>
        <v>0.49</v>
      </c>
      <c r="L20" t="e">
        <f t="shared" si="5"/>
        <v>#VALUE!</v>
      </c>
      <c r="M20" t="e">
        <f t="shared" si="6"/>
        <v>#VALUE!</v>
      </c>
      <c r="N20" t="e">
        <f t="shared" si="7"/>
        <v>#VALUE!</v>
      </c>
      <c r="Q20" t="str">
        <f t="shared" ca="1" si="8"/>
        <v>0.277</v>
      </c>
    </row>
    <row r="21" spans="1:17" x14ac:dyDescent="0.35">
      <c r="A21" t="s">
        <v>688</v>
      </c>
      <c r="B21">
        <f t="shared" si="9"/>
        <v>4</v>
      </c>
      <c r="C21" t="e">
        <f t="shared" si="10"/>
        <v>#VALUE!</v>
      </c>
      <c r="D21" t="e">
        <f t="shared" si="10"/>
        <v>#VALUE!</v>
      </c>
      <c r="E21" t="e">
        <f t="shared" si="10"/>
        <v>#VALUE!</v>
      </c>
      <c r="F21" t="e">
        <f t="shared" si="10"/>
        <v>#VALUE!</v>
      </c>
      <c r="G21" cm="1">
        <f t="array" ref="G21">MATCH(TRUE, ISERR(B21:F21),0)</f>
        <v>2</v>
      </c>
      <c r="J21" t="str">
        <f t="shared" si="3"/>
        <v>100</v>
      </c>
      <c r="K21" t="e">
        <f t="shared" si="4"/>
        <v>#VALUE!</v>
      </c>
      <c r="L21" t="e">
        <f t="shared" si="5"/>
        <v>#VALUE!</v>
      </c>
      <c r="M21" t="e">
        <f t="shared" si="6"/>
        <v>#VALUE!</v>
      </c>
      <c r="N21" t="e">
        <f t="shared" si="7"/>
        <v>#VALUE!</v>
      </c>
      <c r="Q21" t="str">
        <f t="shared" ca="1" si="8"/>
        <v>0.188</v>
      </c>
    </row>
    <row r="22" spans="1:17" x14ac:dyDescent="0.35">
      <c r="A22" t="s">
        <v>689</v>
      </c>
      <c r="B22">
        <f t="shared" si="9"/>
        <v>4</v>
      </c>
      <c r="C22" t="e">
        <f t="shared" si="10"/>
        <v>#VALUE!</v>
      </c>
      <c r="D22" t="e">
        <f t="shared" si="10"/>
        <v>#VALUE!</v>
      </c>
      <c r="E22" t="e">
        <f t="shared" si="10"/>
        <v>#VALUE!</v>
      </c>
      <c r="F22" t="e">
        <f t="shared" si="10"/>
        <v>#VALUE!</v>
      </c>
      <c r="G22" cm="1">
        <f t="array" ref="G22">MATCH(TRUE, ISERR(B22:F22),0)</f>
        <v>2</v>
      </c>
      <c r="J22" t="str">
        <f t="shared" si="3"/>
        <v>120</v>
      </c>
      <c r="K22" t="e">
        <f t="shared" si="4"/>
        <v>#VALUE!</v>
      </c>
      <c r="L22" t="e">
        <f t="shared" si="5"/>
        <v>#VALUE!</v>
      </c>
      <c r="M22" t="e">
        <f t="shared" si="6"/>
        <v>#VALUE!</v>
      </c>
      <c r="N22" t="e">
        <f t="shared" si="7"/>
        <v>#VALUE!</v>
      </c>
      <c r="Q22" t="str">
        <f t="shared" ca="1" si="8"/>
        <v>0.137</v>
      </c>
    </row>
    <row r="23" spans="1:17" x14ac:dyDescent="0.35">
      <c r="A23" t="s">
        <v>690</v>
      </c>
      <c r="B23">
        <f t="shared" si="9"/>
        <v>4</v>
      </c>
      <c r="C23" t="e">
        <f t="shared" si="10"/>
        <v>#VALUE!</v>
      </c>
      <c r="D23" t="e">
        <f t="shared" si="10"/>
        <v>#VALUE!</v>
      </c>
      <c r="E23" t="e">
        <f t="shared" si="10"/>
        <v>#VALUE!</v>
      </c>
      <c r="F23" t="e">
        <f t="shared" si="10"/>
        <v>#VALUE!</v>
      </c>
      <c r="G23" cm="1">
        <f t="array" ref="G23">MATCH(TRUE, ISERR(B23:F23),0)</f>
        <v>2</v>
      </c>
      <c r="J23" t="str">
        <f t="shared" si="3"/>
        <v>140</v>
      </c>
      <c r="K23" t="e">
        <f t="shared" si="4"/>
        <v>#VALUE!</v>
      </c>
      <c r="L23" t="e">
        <f t="shared" si="5"/>
        <v>#VALUE!</v>
      </c>
      <c r="M23" t="e">
        <f t="shared" si="6"/>
        <v>#VALUE!</v>
      </c>
      <c r="N23" t="e">
        <f t="shared" si="7"/>
        <v>#VALUE!</v>
      </c>
      <c r="Q23" t="str">
        <f t="shared" ca="1" si="8"/>
        <v>0.131</v>
      </c>
    </row>
    <row r="24" spans="1:17" x14ac:dyDescent="0.35">
      <c r="A24" t="s">
        <v>691</v>
      </c>
      <c r="B24">
        <f t="shared" si="9"/>
        <v>4</v>
      </c>
      <c r="C24" t="e">
        <f t="shared" si="10"/>
        <v>#VALUE!</v>
      </c>
      <c r="D24" t="e">
        <f t="shared" si="10"/>
        <v>#VALUE!</v>
      </c>
      <c r="E24" t="e">
        <f t="shared" si="10"/>
        <v>#VALUE!</v>
      </c>
      <c r="F24" t="e">
        <f t="shared" si="10"/>
        <v>#VALUE!</v>
      </c>
      <c r="G24" cm="1">
        <f t="array" ref="G24">MATCH(TRUE, ISERR(B24:F24),0)</f>
        <v>2</v>
      </c>
      <c r="J24" t="str">
        <f t="shared" si="3"/>
        <v>160</v>
      </c>
      <c r="K24" t="e">
        <f t="shared" si="4"/>
        <v>#VALUE!</v>
      </c>
      <c r="L24" t="e">
        <f t="shared" si="5"/>
        <v>#VALUE!</v>
      </c>
      <c r="M24" t="e">
        <f t="shared" si="6"/>
        <v>#VALUE!</v>
      </c>
      <c r="N24" t="e">
        <f t="shared" si="7"/>
        <v>#VALUE!</v>
      </c>
      <c r="Q24" t="str">
        <f t="shared" ca="1" si="8"/>
        <v>0.129</v>
      </c>
    </row>
    <row r="25" spans="1:17" x14ac:dyDescent="0.35">
      <c r="A25" t="s">
        <v>692</v>
      </c>
      <c r="B25">
        <f t="shared" si="9"/>
        <v>4</v>
      </c>
      <c r="C25" t="e">
        <f t="shared" si="10"/>
        <v>#VALUE!</v>
      </c>
      <c r="D25" t="e">
        <f t="shared" si="10"/>
        <v>#VALUE!</v>
      </c>
      <c r="E25" t="e">
        <f t="shared" si="10"/>
        <v>#VALUE!</v>
      </c>
      <c r="F25" t="e">
        <f t="shared" si="10"/>
        <v>#VALUE!</v>
      </c>
      <c r="G25" cm="1">
        <f t="array" ref="G25">MATCH(TRUE, ISERR(B25:F25),0)</f>
        <v>2</v>
      </c>
      <c r="J25" t="str">
        <f t="shared" si="3"/>
        <v>180</v>
      </c>
      <c r="K25" t="e">
        <f t="shared" si="4"/>
        <v>#VALUE!</v>
      </c>
      <c r="L25" t="e">
        <f t="shared" si="5"/>
        <v>#VALUE!</v>
      </c>
      <c r="M25" t="e">
        <f t="shared" si="6"/>
        <v>#VALUE!</v>
      </c>
      <c r="N25" t="e">
        <f t="shared" si="7"/>
        <v>#VALUE!</v>
      </c>
      <c r="Q25" t="str">
        <f t="shared" ca="1" si="8"/>
        <v>0.123</v>
      </c>
    </row>
    <row r="31" spans="1:17" x14ac:dyDescent="0.35">
      <c r="I31" t="s">
        <v>693</v>
      </c>
      <c r="J31" t="s">
        <v>722</v>
      </c>
      <c r="K31" t="s">
        <v>723</v>
      </c>
      <c r="L31" t="s">
        <v>724</v>
      </c>
      <c r="M31" t="s">
        <v>701</v>
      </c>
    </row>
    <row r="32" spans="1:17" x14ac:dyDescent="0.35">
      <c r="I32" t="s">
        <v>694</v>
      </c>
      <c r="J32" t="s">
        <v>725</v>
      </c>
      <c r="K32" t="s">
        <v>726</v>
      </c>
      <c r="L32" t="s">
        <v>727</v>
      </c>
      <c r="M32" t="s">
        <v>702</v>
      </c>
    </row>
    <row r="33" spans="9:13" x14ac:dyDescent="0.35">
      <c r="I33" t="s">
        <v>695</v>
      </c>
      <c r="J33" t="s">
        <v>728</v>
      </c>
      <c r="K33" t="s">
        <v>729</v>
      </c>
      <c r="L33" t="s">
        <v>730</v>
      </c>
      <c r="M33" t="s">
        <v>703</v>
      </c>
    </row>
    <row r="34" spans="9:13" x14ac:dyDescent="0.35">
      <c r="I34" t="s">
        <v>696</v>
      </c>
      <c r="J34" t="s">
        <v>731</v>
      </c>
      <c r="K34" t="s">
        <v>732</v>
      </c>
      <c r="L34" t="s">
        <v>733</v>
      </c>
      <c r="M34" t="s">
        <v>704</v>
      </c>
    </row>
    <row r="35" spans="9:13" x14ac:dyDescent="0.35">
      <c r="I35" t="s">
        <v>697</v>
      </c>
      <c r="J35" t="s">
        <v>734</v>
      </c>
      <c r="K35" t="s">
        <v>735</v>
      </c>
      <c r="L35" t="s">
        <v>703</v>
      </c>
      <c r="M35" t="s">
        <v>705</v>
      </c>
    </row>
    <row r="36" spans="9:13" x14ac:dyDescent="0.35">
      <c r="I36" t="s">
        <v>698</v>
      </c>
      <c r="J36" t="s">
        <v>736</v>
      </c>
      <c r="K36" t="s">
        <v>737</v>
      </c>
      <c r="L36" t="s">
        <v>738</v>
      </c>
      <c r="M36" t="s">
        <v>706</v>
      </c>
    </row>
    <row r="37" spans="9:13" x14ac:dyDescent="0.35">
      <c r="I37" t="s">
        <v>699</v>
      </c>
      <c r="J37" t="s">
        <v>739</v>
      </c>
      <c r="K37" t="s">
        <v>740</v>
      </c>
      <c r="L37" t="s">
        <v>741</v>
      </c>
      <c r="M37" t="s">
        <v>707</v>
      </c>
    </row>
    <row r="38" spans="9:13" x14ac:dyDescent="0.35">
      <c r="I38" t="s">
        <v>700</v>
      </c>
      <c r="J38" t="s">
        <v>702</v>
      </c>
      <c r="K38" t="s">
        <v>742</v>
      </c>
      <c r="L38" t="s">
        <v>743</v>
      </c>
      <c r="M38" t="s">
        <v>708</v>
      </c>
    </row>
    <row r="39" spans="9:13" x14ac:dyDescent="0.35">
      <c r="I39" t="s">
        <v>305</v>
      </c>
      <c r="J39" t="s">
        <v>744</v>
      </c>
      <c r="K39" t="s">
        <v>745</v>
      </c>
      <c r="L39" t="s">
        <v>746</v>
      </c>
      <c r="M39" t="s">
        <v>709</v>
      </c>
    </row>
    <row r="40" spans="9:13" x14ac:dyDescent="0.35">
      <c r="I40" t="s">
        <v>311</v>
      </c>
      <c r="J40" t="s">
        <v>747</v>
      </c>
      <c r="K40" t="s">
        <v>748</v>
      </c>
      <c r="L40" t="s">
        <v>749</v>
      </c>
      <c r="M40" t="s">
        <v>710</v>
      </c>
    </row>
    <row r="41" spans="9:13" x14ac:dyDescent="0.35">
      <c r="I41" t="s">
        <v>321</v>
      </c>
      <c r="K41" t="s">
        <v>750</v>
      </c>
      <c r="L41" t="s">
        <v>751</v>
      </c>
      <c r="M41" t="s">
        <v>711</v>
      </c>
    </row>
    <row r="42" spans="9:13" x14ac:dyDescent="0.35">
      <c r="I42" t="s">
        <v>323</v>
      </c>
      <c r="K42" t="s">
        <v>752</v>
      </c>
      <c r="L42" t="s">
        <v>753</v>
      </c>
      <c r="M42" t="s">
        <v>712</v>
      </c>
    </row>
    <row r="43" spans="9:13" x14ac:dyDescent="0.35">
      <c r="I43" t="s">
        <v>325</v>
      </c>
      <c r="K43" t="s">
        <v>754</v>
      </c>
      <c r="L43" t="s">
        <v>755</v>
      </c>
      <c r="M43" t="s">
        <v>713</v>
      </c>
    </row>
    <row r="44" spans="9:13" x14ac:dyDescent="0.35">
      <c r="I44" t="s">
        <v>470</v>
      </c>
      <c r="K44" t="s">
        <v>756</v>
      </c>
      <c r="L44" t="s">
        <v>757</v>
      </c>
      <c r="M44" t="s">
        <v>714</v>
      </c>
    </row>
    <row r="45" spans="9:13" x14ac:dyDescent="0.35">
      <c r="I45" t="s">
        <v>327</v>
      </c>
      <c r="K45" t="s">
        <v>758</v>
      </c>
      <c r="L45" t="s">
        <v>714</v>
      </c>
      <c r="M45" t="s">
        <v>715</v>
      </c>
    </row>
    <row r="46" spans="9:13" x14ac:dyDescent="0.35">
      <c r="I46" t="s">
        <v>329</v>
      </c>
      <c r="L46" t="s">
        <v>759</v>
      </c>
      <c r="M46" t="s">
        <v>716</v>
      </c>
    </row>
    <row r="47" spans="9:13" x14ac:dyDescent="0.35">
      <c r="I47" t="s">
        <v>485</v>
      </c>
      <c r="L47" t="s">
        <v>760</v>
      </c>
      <c r="M47" t="s">
        <v>717</v>
      </c>
    </row>
    <row r="48" spans="9:13" x14ac:dyDescent="0.35">
      <c r="I48" t="s">
        <v>335</v>
      </c>
      <c r="L48" t="s">
        <v>761</v>
      </c>
      <c r="M48" t="s">
        <v>718</v>
      </c>
    </row>
    <row r="49" spans="9:13" x14ac:dyDescent="0.35">
      <c r="I49" t="s">
        <v>339</v>
      </c>
      <c r="M49" t="s">
        <v>719</v>
      </c>
    </row>
    <row r="50" spans="9:13" x14ac:dyDescent="0.35">
      <c r="I50" t="s">
        <v>517</v>
      </c>
      <c r="M50" t="s">
        <v>720</v>
      </c>
    </row>
    <row r="51" spans="9:13" x14ac:dyDescent="0.35">
      <c r="I51" t="s">
        <v>523</v>
      </c>
      <c r="M51" t="s">
        <v>721</v>
      </c>
    </row>
    <row r="52" spans="9:13" x14ac:dyDescent="0.35">
      <c r="I52" t="s">
        <v>529</v>
      </c>
      <c r="M52" t="s">
        <v>607</v>
      </c>
    </row>
    <row r="53" spans="9:13" x14ac:dyDescent="0.35">
      <c r="I53" t="s">
        <v>535</v>
      </c>
      <c r="M53" t="s">
        <v>600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10</vt:i4>
      </vt:variant>
    </vt:vector>
  </HeadingPairs>
  <TitlesOfParts>
    <vt:vector size="10" baseType="lpstr">
      <vt:lpstr>Sheet1</vt:lpstr>
      <vt:lpstr>Sheet2</vt:lpstr>
      <vt:lpstr>Sheet3</vt:lpstr>
      <vt:lpstr>Sheet4</vt:lpstr>
      <vt:lpstr>Sheet5</vt:lpstr>
      <vt:lpstr>TotScattering</vt:lpstr>
      <vt:lpstr>Sheet6</vt:lpstr>
      <vt:lpstr>DissIoni</vt:lpstr>
      <vt:lpstr>Sheet8</vt:lpstr>
      <vt:lpstr>Sheet9</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Stephenson, Peter</dc:creator>
  <cp:lastModifiedBy>Stephenson, Peter</cp:lastModifiedBy>
  <dcterms:created xsi:type="dcterms:W3CDTF">2022-05-26T16:22:45Z</dcterms:created>
  <dcterms:modified xsi:type="dcterms:W3CDTF">2022-06-09T10:31:16Z</dcterms:modified>
</cp:coreProperties>
</file>