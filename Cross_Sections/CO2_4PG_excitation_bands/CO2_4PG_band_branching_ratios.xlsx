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ps18/Documents/Cross_Sections/CO2_4PG_excitation_bands/"/>
    </mc:Choice>
  </mc:AlternateContent>
  <xr:revisionPtr revIDLastSave="0" documentId="10_ncr:0_{F7B8BE4A-3294-7E40-AE5B-A8765F6C2364}" xr6:coauthVersionLast="43" xr6:coauthVersionMax="43" xr10:uidLastSave="{00000000-0000-0000-0000-000000000000}"/>
  <bookViews>
    <workbookView xWindow="42360" yWindow="2120" windowWidth="28040" windowHeight="17440" xr2:uid="{8297870F-C1BB-4248-8594-2DDEB63278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E6" i="1"/>
  <c r="E5" i="1"/>
  <c r="E4" i="1"/>
  <c r="E3" i="1"/>
  <c r="C8" i="1"/>
  <c r="E2" i="1"/>
  <c r="C9" i="1"/>
  <c r="E13" i="1"/>
  <c r="E11" i="1"/>
  <c r="E12" i="1"/>
  <c r="E10" i="1"/>
  <c r="E9" i="1"/>
  <c r="E8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<sst xmlns="http://schemas.openxmlformats.org/spreadsheetml/2006/main" count="18" uniqueCount="16">
  <si>
    <t>v'</t>
  </si>
  <si>
    <t>Band intesity</t>
  </si>
  <si>
    <t>0,1</t>
  </si>
  <si>
    <t>1,4</t>
  </si>
  <si>
    <t>2,2</t>
  </si>
  <si>
    <t>3,0</t>
  </si>
  <si>
    <t>4,0</t>
  </si>
  <si>
    <t>v''</t>
  </si>
  <si>
    <t>4,3</t>
  </si>
  <si>
    <t>1,1</t>
  </si>
  <si>
    <t>3,4</t>
  </si>
  <si>
    <t>0,2</t>
  </si>
  <si>
    <t>1,3</t>
  </si>
  <si>
    <t>Xsection/e-20cm2</t>
  </si>
  <si>
    <t>Branching Ratio</t>
  </si>
  <si>
    <t>Transition probabilities for v'-&gt;v'' for CO in 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</si>
</sst>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ACBD-BF02-694E-A287-CB091B54EAA8}">
  <dimension ref="A1:V13"/>
  <sheetViews>
    <sheetView tabSelected="1" workbookViewId="0">
      <selection activeCell="C11" sqref="C11"/>
    </sheetView>
  </sheetViews>
  <sheetFormatPr baseColWidth="10" defaultRowHeight="16" x14ac:dyDescent="0.2"/>
  <cols>
    <col min="3" max="3" width="16" bestFit="1" customWidth="1"/>
    <col min="4" max="4" width="12.1640625" bestFit="1" customWidth="1"/>
  </cols>
  <sheetData>
    <row r="1" spans="1:22" x14ac:dyDescent="0.2">
      <c r="B1" t="s">
        <v>0</v>
      </c>
      <c r="C1" t="s">
        <v>13</v>
      </c>
      <c r="D1" t="s">
        <v>1</v>
      </c>
      <c r="E1" t="s">
        <v>14</v>
      </c>
    </row>
    <row r="2" spans="1:22" x14ac:dyDescent="0.2">
      <c r="A2" t="s">
        <v>2</v>
      </c>
      <c r="B2">
        <v>0</v>
      </c>
      <c r="C2">
        <v>11.1</v>
      </c>
      <c r="D2">
        <f>C2/$C$2</f>
        <v>1</v>
      </c>
      <c r="E2">
        <f>K5/SUM(J5:V5)</f>
        <v>0.32354597584521499</v>
      </c>
      <c r="J2" t="s">
        <v>15</v>
      </c>
    </row>
    <row r="3" spans="1:22" x14ac:dyDescent="0.2">
      <c r="A3" t="s">
        <v>3</v>
      </c>
      <c r="B3">
        <v>1</v>
      </c>
      <c r="C3">
        <v>6</v>
      </c>
      <c r="D3">
        <f t="shared" ref="D3:D6" si="0">C3/$C$2</f>
        <v>0.54054054054054057</v>
      </c>
      <c r="E3">
        <f>N6/SUM(J6:V6)</f>
        <v>0.13811652603558858</v>
      </c>
      <c r="J3" t="s">
        <v>7</v>
      </c>
    </row>
    <row r="4" spans="1:22" x14ac:dyDescent="0.2">
      <c r="A4" t="s">
        <v>4</v>
      </c>
      <c r="B4">
        <v>2</v>
      </c>
      <c r="C4">
        <v>4.4000000000000004</v>
      </c>
      <c r="D4">
        <f t="shared" si="0"/>
        <v>0.39639639639639646</v>
      </c>
      <c r="E4">
        <f>L7/SUM(J7:V7)</f>
        <v>0.13106802479030333</v>
      </c>
      <c r="I4" t="s">
        <v>0</v>
      </c>
      <c r="J4">
        <v>0</v>
      </c>
      <c r="K4">
        <v>1</v>
      </c>
      <c r="L4">
        <v>2</v>
      </c>
      <c r="M4">
        <v>3</v>
      </c>
      <c r="N4">
        <v>4</v>
      </c>
      <c r="O4">
        <v>5</v>
      </c>
      <c r="P4">
        <v>6</v>
      </c>
      <c r="Q4">
        <v>7</v>
      </c>
      <c r="R4">
        <v>8</v>
      </c>
      <c r="S4">
        <v>9</v>
      </c>
      <c r="T4">
        <v>10</v>
      </c>
      <c r="U4">
        <v>11</v>
      </c>
      <c r="V4">
        <v>12</v>
      </c>
    </row>
    <row r="5" spans="1:22" x14ac:dyDescent="0.2">
      <c r="A5" t="s">
        <v>5</v>
      </c>
      <c r="B5">
        <v>3</v>
      </c>
      <c r="C5">
        <v>5.2</v>
      </c>
      <c r="D5">
        <f t="shared" si="0"/>
        <v>0.46846846846846851</v>
      </c>
      <c r="E5">
        <f>J8/SUM(J8:V8)</f>
        <v>0.45066038016802434</v>
      </c>
      <c r="I5">
        <v>0</v>
      </c>
      <c r="J5">
        <v>1.87</v>
      </c>
      <c r="K5">
        <v>3.41</v>
      </c>
      <c r="L5">
        <v>2.92</v>
      </c>
      <c r="M5">
        <v>1.56</v>
      </c>
      <c r="N5">
        <v>0.58099999999999996</v>
      </c>
      <c r="O5">
        <v>0.159</v>
      </c>
      <c r="P5">
        <v>3.3300000000000003E-2</v>
      </c>
      <c r="Q5">
        <v>5.4400000000000004E-3</v>
      </c>
      <c r="R5">
        <v>7.0699999999999995E-4</v>
      </c>
      <c r="S5">
        <v>7.4000000000000003E-6</v>
      </c>
      <c r="T5">
        <v>6.0000000000000002E-6</v>
      </c>
      <c r="U5">
        <v>0</v>
      </c>
      <c r="V5">
        <v>0</v>
      </c>
    </row>
    <row r="6" spans="1:22" x14ac:dyDescent="0.2">
      <c r="A6" t="s">
        <v>6</v>
      </c>
      <c r="B6">
        <v>4</v>
      </c>
      <c r="C6">
        <v>4.0999999999999996</v>
      </c>
      <c r="D6">
        <f t="shared" si="0"/>
        <v>0.36936936936936937</v>
      </c>
      <c r="E6">
        <f>J9/SUM(J9:V9)</f>
        <v>0.33247619430270403</v>
      </c>
      <c r="I6">
        <v>1</v>
      </c>
      <c r="J6">
        <v>4.21</v>
      </c>
      <c r="K6">
        <v>2.34</v>
      </c>
      <c r="L6">
        <v>2.9000000000000001E-2</v>
      </c>
      <c r="M6">
        <v>0.76</v>
      </c>
      <c r="N6">
        <v>1.44</v>
      </c>
      <c r="O6">
        <v>1.04</v>
      </c>
      <c r="P6">
        <v>0.44400000000000001</v>
      </c>
      <c r="Q6">
        <v>0.13</v>
      </c>
      <c r="R6">
        <v>2.7799999999999998E-2</v>
      </c>
      <c r="S6">
        <v>4.5399999999999998E-3</v>
      </c>
      <c r="T6">
        <v>5.7799999999999995E-4</v>
      </c>
      <c r="U6">
        <v>5.7000000000000003E-5</v>
      </c>
      <c r="V6">
        <v>3.9999999999999998E-6</v>
      </c>
    </row>
    <row r="7" spans="1:22" x14ac:dyDescent="0.2">
      <c r="I7">
        <v>2</v>
      </c>
      <c r="J7">
        <v>5.16</v>
      </c>
      <c r="K7">
        <v>0.17199999999999999</v>
      </c>
      <c r="L7">
        <v>1.35</v>
      </c>
      <c r="M7">
        <v>1.27</v>
      </c>
      <c r="N7">
        <v>2.8899999999999999E-2</v>
      </c>
      <c r="O7">
        <v>0.436</v>
      </c>
      <c r="P7">
        <v>0.88400000000000001</v>
      </c>
      <c r="Q7">
        <v>0.63800000000000001</v>
      </c>
      <c r="R7">
        <v>0.26700000000000002</v>
      </c>
      <c r="S7">
        <v>7.5800000000000006E-2</v>
      </c>
      <c r="T7">
        <v>1.5599999999999999E-2</v>
      </c>
      <c r="U7">
        <v>2.4099999999999998E-3</v>
      </c>
      <c r="V7">
        <v>2.8499999999999999E-4</v>
      </c>
    </row>
    <row r="8" spans="1:22" x14ac:dyDescent="0.2">
      <c r="A8" t="s">
        <v>8</v>
      </c>
      <c r="C8">
        <f>C6*E8/E6</f>
        <v>1.2386706948640485</v>
      </c>
      <c r="E8">
        <f>M9/SUM(J9:V9)</f>
        <v>0.10044598015187434</v>
      </c>
      <c r="I8">
        <v>3</v>
      </c>
      <c r="J8">
        <v>4.57</v>
      </c>
      <c r="K8">
        <v>0.53300000000000003</v>
      </c>
      <c r="L8">
        <v>1.89</v>
      </c>
      <c r="M8">
        <v>4.5399999999999998E-4</v>
      </c>
      <c r="N8">
        <v>0.996</v>
      </c>
      <c r="O8">
        <v>0.63800000000000001</v>
      </c>
      <c r="P8">
        <v>0</v>
      </c>
      <c r="Q8">
        <v>0.372</v>
      </c>
      <c r="R8">
        <v>0.58199999999999996</v>
      </c>
      <c r="S8">
        <v>0.373</v>
      </c>
      <c r="T8">
        <v>0.14199999999999999</v>
      </c>
      <c r="U8">
        <v>3.7199999999999997E-2</v>
      </c>
      <c r="V8">
        <v>7.0200000000000002E-3</v>
      </c>
    </row>
    <row r="9" spans="1:22" x14ac:dyDescent="0.2">
      <c r="A9" t="s">
        <v>9</v>
      </c>
      <c r="C9">
        <f>C3*E9/E3</f>
        <v>9.75</v>
      </c>
      <c r="E9">
        <f>K6/SUM(J6:V6)</f>
        <v>0.22443935480783142</v>
      </c>
      <c r="I9">
        <v>4</v>
      </c>
      <c r="J9">
        <v>3.31</v>
      </c>
      <c r="K9">
        <v>2.2799999999999998</v>
      </c>
      <c r="L9">
        <v>0.52200000000000002</v>
      </c>
      <c r="M9">
        <v>1</v>
      </c>
      <c r="N9">
        <v>0.72199999999999998</v>
      </c>
      <c r="O9">
        <v>0.104</v>
      </c>
      <c r="P9">
        <v>0.76800000000000002</v>
      </c>
      <c r="Q9">
        <v>0.25</v>
      </c>
      <c r="R9">
        <v>2.86E-2</v>
      </c>
      <c r="S9">
        <v>0.32800000000000001</v>
      </c>
      <c r="T9">
        <v>0.373</v>
      </c>
      <c r="U9">
        <v>0.20200000000000001</v>
      </c>
      <c r="V9">
        <v>6.8000000000000005E-2</v>
      </c>
    </row>
    <row r="10" spans="1:22" x14ac:dyDescent="0.2">
      <c r="A10" t="s">
        <v>2</v>
      </c>
      <c r="C10">
        <f>C2*E10/E2</f>
        <v>11.1</v>
      </c>
      <c r="E10">
        <f>K5/SUM(J5:V5)</f>
        <v>0.32354597584521499</v>
      </c>
    </row>
    <row r="11" spans="1:22" x14ac:dyDescent="0.2">
      <c r="A11" t="s">
        <v>10</v>
      </c>
      <c r="C11">
        <f>C5*E11/E5</f>
        <v>1.1333041575492342</v>
      </c>
      <c r="E11">
        <f>N8/SUM(J8:V8)</f>
        <v>9.8218323555219297E-2</v>
      </c>
    </row>
    <row r="12" spans="1:22" x14ac:dyDescent="0.2">
      <c r="A12" t="s">
        <v>11</v>
      </c>
      <c r="C12">
        <f>C2*E12/E2</f>
        <v>4.4965945608557725</v>
      </c>
      <c r="E12">
        <f>L7/SUM(J7:V7)</f>
        <v>0.13106802479030333</v>
      </c>
    </row>
    <row r="13" spans="1:22" x14ac:dyDescent="0.2">
      <c r="A13" t="s">
        <v>12</v>
      </c>
      <c r="C13">
        <f>C3*E13/E3</f>
        <v>4.4986510650860705</v>
      </c>
      <c r="E13">
        <f>M6/SUM(J6:M6)</f>
        <v>0.1035563428259981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2019-07-03T11:17:19Z</dcterms:created>
  <dcterms:modified xsi:type="dcterms:W3CDTF">2019-07-03T16:08:15Z</dcterms:modified>
</cp:coreProperties>
</file>